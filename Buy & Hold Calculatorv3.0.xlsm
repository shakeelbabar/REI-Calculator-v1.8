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3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dmin/Documents/Documents/John/Codes/REI Calculator Standalone/PyQt/"/>
    </mc:Choice>
  </mc:AlternateContent>
  <xr:revisionPtr revIDLastSave="0" documentId="13_ncr:1_{8FB85B71-4F68-3649-98C8-7A8F627E92D3}" xr6:coauthVersionLast="45" xr6:coauthVersionMax="45" xr10:uidLastSave="{00000000-0000-0000-0000-000000000000}"/>
  <bookViews>
    <workbookView xWindow="0" yWindow="460" windowWidth="28800" windowHeight="16280" activeTab="6" xr2:uid="{00000000-000D-0000-FFFF-FFFF00000000}"/>
  </bookViews>
  <sheets>
    <sheet name="Instruction" sheetId="2" r:id="rId1"/>
    <sheet name="1. Property Information" sheetId="3" r:id="rId2"/>
    <sheet name="2. Purchase Information" sheetId="1" r:id="rId3"/>
    <sheet name="3. Rent &amp; Expenses" sheetId="4" r:id="rId4"/>
    <sheet name="3.1 Investor Splits" sheetId="11" r:id="rId5"/>
    <sheet name="4. Report" sheetId="5" r:id="rId6"/>
    <sheet name="Pro Forma" sheetId="9" r:id="rId7"/>
    <sheet name="Debt Payment (Monthly)" sheetId="6" r:id="rId8"/>
    <sheet name="Debt Payment (Yearly)" sheetId="7" r:id="rId9"/>
    <sheet name="Template" sheetId="10" r:id="rId10"/>
  </sheets>
  <definedNames>
    <definedName name="_xlnm.Print_Area" localSheetId="9">Template!$A$1:$X$672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11" l="1"/>
  <c r="I14" i="11"/>
  <c r="J13" i="11"/>
  <c r="J14" i="11"/>
  <c r="K9" i="1" l="1"/>
  <c r="E154" i="10" l="1"/>
  <c r="F688" i="10" l="1"/>
  <c r="F629" i="10"/>
  <c r="I12" i="11" l="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11" i="11"/>
  <c r="P249" i="10"/>
  <c r="X25" i="9" l="1"/>
  <c r="Y25" i="9" s="1"/>
  <c r="Z25" i="9" s="1"/>
  <c r="AA25" i="9" s="1"/>
  <c r="AB25" i="9" s="1"/>
  <c r="AC25" i="9" s="1"/>
  <c r="AD25" i="9" s="1"/>
  <c r="AE25" i="9" s="1"/>
  <c r="AF25" i="9" s="1"/>
  <c r="AG25" i="9" s="1"/>
  <c r="AH25" i="9" s="1"/>
  <c r="AI25" i="9" s="1"/>
  <c r="AJ25" i="9" s="1"/>
  <c r="AK25" i="9" s="1"/>
  <c r="AL25" i="9" s="1"/>
  <c r="AM25" i="9" s="1"/>
  <c r="AN25" i="9" s="1"/>
  <c r="AO25" i="9" s="1"/>
  <c r="AP25" i="9" s="1"/>
  <c r="AQ25" i="9" s="1"/>
  <c r="AR25" i="9" s="1"/>
  <c r="AS25" i="9" s="1"/>
  <c r="AT25" i="9" s="1"/>
  <c r="AU25" i="9" s="1"/>
  <c r="AV25" i="9" s="1"/>
  <c r="AW25" i="9" s="1"/>
  <c r="AX25" i="9" s="1"/>
  <c r="AY25" i="9" s="1"/>
  <c r="AZ25" i="9" s="1"/>
  <c r="W32" i="9"/>
  <c r="M10" i="11"/>
  <c r="B18" i="11"/>
  <c r="B17" i="11"/>
  <c r="B145" i="5" l="1"/>
  <c r="C600" i="10" s="1"/>
  <c r="J12" i="11"/>
  <c r="M12" i="11" s="1"/>
  <c r="J15" i="11"/>
  <c r="L15" i="11" s="1"/>
  <c r="J16" i="11"/>
  <c r="L16" i="11" s="1"/>
  <c r="J17" i="11"/>
  <c r="L17" i="11" s="1"/>
  <c r="J18" i="11"/>
  <c r="L18" i="11" s="1"/>
  <c r="J19" i="11"/>
  <c r="L19" i="11" s="1"/>
  <c r="J20" i="11"/>
  <c r="L20" i="11" s="1"/>
  <c r="J21" i="11"/>
  <c r="L21" i="11" s="1"/>
  <c r="J22" i="11"/>
  <c r="L22" i="11" s="1"/>
  <c r="J23" i="11"/>
  <c r="L23" i="11" s="1"/>
  <c r="J24" i="11"/>
  <c r="L24" i="11" s="1"/>
  <c r="J25" i="11"/>
  <c r="L25" i="11" s="1"/>
  <c r="J26" i="11"/>
  <c r="L26" i="11" s="1"/>
  <c r="J27" i="11"/>
  <c r="L27" i="11" s="1"/>
  <c r="J28" i="11"/>
  <c r="L28" i="11" s="1"/>
  <c r="J29" i="11"/>
  <c r="L29" i="11" s="1"/>
  <c r="J30" i="11"/>
  <c r="L30" i="11" s="1"/>
  <c r="J11" i="11"/>
  <c r="B157" i="5"/>
  <c r="V46" i="9"/>
  <c r="V47" i="9"/>
  <c r="V48" i="9"/>
  <c r="V51" i="9"/>
  <c r="V52" i="9"/>
  <c r="V53" i="9"/>
  <c r="V54" i="9"/>
  <c r="B13" i="11"/>
  <c r="B12" i="11"/>
  <c r="I9" i="11"/>
  <c r="B10" i="11"/>
  <c r="H260" i="10"/>
  <c r="Y15" i="9"/>
  <c r="AB23" i="4"/>
  <c r="AB22" i="4"/>
  <c r="AB19" i="4"/>
  <c r="AB18" i="4"/>
  <c r="AB17" i="4"/>
  <c r="AB13" i="4"/>
  <c r="AB12" i="4"/>
  <c r="AA23" i="4"/>
  <c r="AA22" i="4"/>
  <c r="AA21" i="4"/>
  <c r="AA20" i="4"/>
  <c r="AA18" i="4"/>
  <c r="AA19" i="4"/>
  <c r="AA17" i="4"/>
  <c r="AA15" i="4"/>
  <c r="AA16" i="4"/>
  <c r="AA13" i="4"/>
  <c r="AA14" i="4"/>
  <c r="AA12" i="4"/>
  <c r="W53" i="9" l="1"/>
  <c r="C169" i="5" s="1"/>
  <c r="AE53" i="9"/>
  <c r="AM53" i="9"/>
  <c r="AU53" i="9"/>
  <c r="K169" i="5" s="1"/>
  <c r="X53" i="9"/>
  <c r="D169" i="5" s="1"/>
  <c r="AF53" i="9"/>
  <c r="H169" i="5" s="1"/>
  <c r="AN53" i="9"/>
  <c r="AV53" i="9"/>
  <c r="AB53" i="9"/>
  <c r="AL53" i="9"/>
  <c r="AX53" i="9"/>
  <c r="AC53" i="9"/>
  <c r="AY53" i="9"/>
  <c r="AP53" i="9"/>
  <c r="J169" i="5" s="1"/>
  <c r="AO53" i="9"/>
  <c r="AD53" i="9"/>
  <c r="AQ53" i="9"/>
  <c r="AR53" i="9"/>
  <c r="AZ53" i="9"/>
  <c r="L169" i="5" s="1"/>
  <c r="AG53" i="9"/>
  <c r="AH53" i="9"/>
  <c r="Y53" i="9"/>
  <c r="E169" i="5" s="1"/>
  <c r="AW53" i="9"/>
  <c r="Z53" i="9"/>
  <c r="F169" i="5" s="1"/>
  <c r="AA53" i="9"/>
  <c r="G169" i="5" s="1"/>
  <c r="AJ53" i="9"/>
  <c r="AS53" i="9"/>
  <c r="AT53" i="9"/>
  <c r="AI53" i="9"/>
  <c r="AK53" i="9"/>
  <c r="I169" i="5" s="1"/>
  <c r="Y46" i="9"/>
  <c r="E162" i="5" s="1"/>
  <c r="AG46" i="9"/>
  <c r="AO46" i="9"/>
  <c r="AW46" i="9"/>
  <c r="Z46" i="9"/>
  <c r="F162" i="5" s="1"/>
  <c r="AH46" i="9"/>
  <c r="AP46" i="9"/>
  <c r="J162" i="5" s="1"/>
  <c r="AX46" i="9"/>
  <c r="AA46" i="9"/>
  <c r="G162" i="5" s="1"/>
  <c r="AI46" i="9"/>
  <c r="AQ46" i="9"/>
  <c r="AY46" i="9"/>
  <c r="AB46" i="9"/>
  <c r="AM46" i="9"/>
  <c r="AD46" i="9"/>
  <c r="AC46" i="9"/>
  <c r="AN46" i="9"/>
  <c r="AT46" i="9"/>
  <c r="AJ46" i="9"/>
  <c r="AU46" i="9"/>
  <c r="K162" i="5" s="1"/>
  <c r="AR46" i="9"/>
  <c r="AF46" i="9"/>
  <c r="H162" i="5" s="1"/>
  <c r="AE46" i="9"/>
  <c r="AS46" i="9"/>
  <c r="W46" i="9"/>
  <c r="C162" i="5" s="1"/>
  <c r="X46" i="9"/>
  <c r="D162" i="5" s="1"/>
  <c r="AL46" i="9"/>
  <c r="AK46" i="9"/>
  <c r="I162" i="5" s="1"/>
  <c r="AV46" i="9"/>
  <c r="AZ46" i="9"/>
  <c r="L162" i="5" s="1"/>
  <c r="Y54" i="9"/>
  <c r="E170" i="5" s="1"/>
  <c r="AG54" i="9"/>
  <c r="AO54" i="9"/>
  <c r="AW54" i="9"/>
  <c r="Z54" i="9"/>
  <c r="F170" i="5" s="1"/>
  <c r="AH54" i="9"/>
  <c r="AP54" i="9"/>
  <c r="J170" i="5" s="1"/>
  <c r="AD54" i="9"/>
  <c r="AN54" i="9"/>
  <c r="AY54" i="9"/>
  <c r="AE54" i="9"/>
  <c r="AQ54" i="9"/>
  <c r="AR54" i="9"/>
  <c r="AZ54" i="9"/>
  <c r="L170" i="5" s="1"/>
  <c r="AF54" i="9"/>
  <c r="H170" i="5" s="1"/>
  <c r="AS54" i="9"/>
  <c r="AJ54" i="9"/>
  <c r="AI54" i="9"/>
  <c r="X54" i="9"/>
  <c r="D170" i="5" s="1"/>
  <c r="AT54" i="9"/>
  <c r="W54" i="9"/>
  <c r="C170" i="5" s="1"/>
  <c r="AV54" i="9"/>
  <c r="AA54" i="9"/>
  <c r="G170" i="5" s="1"/>
  <c r="AX54" i="9"/>
  <c r="AB54" i="9"/>
  <c r="AC54" i="9"/>
  <c r="AM54" i="9"/>
  <c r="AU54" i="9"/>
  <c r="K170" i="5" s="1"/>
  <c r="AL54" i="9"/>
  <c r="AK54" i="9"/>
  <c r="I170" i="5" s="1"/>
  <c r="AC52" i="9"/>
  <c r="AK52" i="9"/>
  <c r="I168" i="5" s="1"/>
  <c r="AS52" i="9"/>
  <c r="AL52" i="9"/>
  <c r="AD52" i="9"/>
  <c r="AT52" i="9"/>
  <c r="W52" i="9"/>
  <c r="C168" i="5" s="1"/>
  <c r="Z52" i="9"/>
  <c r="F168" i="5" s="1"/>
  <c r="AJ52" i="9"/>
  <c r="AV52" i="9"/>
  <c r="AA52" i="9"/>
  <c r="G168" i="5" s="1"/>
  <c r="AW52" i="9"/>
  <c r="AN52" i="9"/>
  <c r="AM52" i="9"/>
  <c r="AB52" i="9"/>
  <c r="AY52" i="9"/>
  <c r="AF52" i="9"/>
  <c r="H168" i="5" s="1"/>
  <c r="AZ52" i="9"/>
  <c r="L168" i="5" s="1"/>
  <c r="AX52" i="9"/>
  <c r="AO52" i="9"/>
  <c r="AP52" i="9"/>
  <c r="J168" i="5" s="1"/>
  <c r="AE52" i="9"/>
  <c r="X52" i="9"/>
  <c r="D168" i="5" s="1"/>
  <c r="Y52" i="9"/>
  <c r="E168" i="5" s="1"/>
  <c r="AH52" i="9"/>
  <c r="AI52" i="9"/>
  <c r="AG52" i="9"/>
  <c r="AQ52" i="9"/>
  <c r="AR52" i="9"/>
  <c r="AU52" i="9"/>
  <c r="K168" i="5" s="1"/>
  <c r="AA51" i="9"/>
  <c r="G167" i="5" s="1"/>
  <c r="AI51" i="9"/>
  <c r="AQ51" i="9"/>
  <c r="AY51" i="9"/>
  <c r="AB51" i="9"/>
  <c r="AZ51" i="9"/>
  <c r="L167" i="5" s="1"/>
  <c r="AJ51" i="9"/>
  <c r="AR51" i="9"/>
  <c r="AC51" i="9"/>
  <c r="AK51" i="9"/>
  <c r="I167" i="5" s="1"/>
  <c r="AS51" i="9"/>
  <c r="AE51" i="9"/>
  <c r="AP51" i="9"/>
  <c r="J167" i="5" s="1"/>
  <c r="AF51" i="9"/>
  <c r="H167" i="5" s="1"/>
  <c r="AG51" i="9"/>
  <c r="AT51" i="9"/>
  <c r="W51" i="9"/>
  <c r="C167" i="5" s="1"/>
  <c r="AV51" i="9"/>
  <c r="AL51" i="9"/>
  <c r="AU51" i="9"/>
  <c r="K167" i="5" s="1"/>
  <c r="AH51" i="9"/>
  <c r="X51" i="9"/>
  <c r="D167" i="5" s="1"/>
  <c r="AW51" i="9"/>
  <c r="Y51" i="9"/>
  <c r="E167" i="5" s="1"/>
  <c r="Z51" i="9"/>
  <c r="F167" i="5" s="1"/>
  <c r="AN51" i="9"/>
  <c r="AD51" i="9"/>
  <c r="AX51" i="9"/>
  <c r="AM51" i="9"/>
  <c r="AO51" i="9"/>
  <c r="AA47" i="9"/>
  <c r="G163" i="5" s="1"/>
  <c r="AI47" i="9"/>
  <c r="AQ47" i="9"/>
  <c r="AY47" i="9"/>
  <c r="AJ47" i="9"/>
  <c r="AZ47" i="9"/>
  <c r="L163" i="5" s="1"/>
  <c r="AB47" i="9"/>
  <c r="AR47" i="9"/>
  <c r="AC47" i="9"/>
  <c r="AK47" i="9"/>
  <c r="I163" i="5" s="1"/>
  <c r="AS47" i="9"/>
  <c r="W47" i="9"/>
  <c r="C163" i="5" s="1"/>
  <c r="AH47" i="9"/>
  <c r="AV47" i="9"/>
  <c r="X47" i="9"/>
  <c r="D163" i="5" s="1"/>
  <c r="AL47" i="9"/>
  <c r="AW47" i="9"/>
  <c r="AN47" i="9"/>
  <c r="AO47" i="9"/>
  <c r="AE47" i="9"/>
  <c r="AP47" i="9"/>
  <c r="J163" i="5" s="1"/>
  <c r="Y47" i="9"/>
  <c r="E163" i="5" s="1"/>
  <c r="AM47" i="9"/>
  <c r="AX47" i="9"/>
  <c r="AD47" i="9"/>
  <c r="Z47" i="9"/>
  <c r="F163" i="5" s="1"/>
  <c r="AF47" i="9"/>
  <c r="H163" i="5" s="1"/>
  <c r="AG47" i="9"/>
  <c r="AT47" i="9"/>
  <c r="AU47" i="9"/>
  <c r="K163" i="5" s="1"/>
  <c r="AC48" i="9"/>
  <c r="AK48" i="9"/>
  <c r="I164" i="5" s="1"/>
  <c r="AS48" i="9"/>
  <c r="AL48" i="9"/>
  <c r="AD48" i="9"/>
  <c r="AT48" i="9"/>
  <c r="W48" i="9"/>
  <c r="C164" i="5" s="1"/>
  <c r="AE48" i="9"/>
  <c r="AM48" i="9"/>
  <c r="AU48" i="9"/>
  <c r="K164" i="5" s="1"/>
  <c r="AF48" i="9"/>
  <c r="H164" i="5" s="1"/>
  <c r="AQ48" i="9"/>
  <c r="AG48" i="9"/>
  <c r="AR48" i="9"/>
  <c r="Y48" i="9"/>
  <c r="E164" i="5" s="1"/>
  <c r="AX48" i="9"/>
  <c r="AH48" i="9"/>
  <c r="AV48" i="9"/>
  <c r="AI48" i="9"/>
  <c r="AJ48" i="9"/>
  <c r="X48" i="9"/>
  <c r="D164" i="5" s="1"/>
  <c r="AW48" i="9"/>
  <c r="AO48" i="9"/>
  <c r="AP48" i="9"/>
  <c r="J164" i="5" s="1"/>
  <c r="AY48" i="9"/>
  <c r="AZ48" i="9"/>
  <c r="L164" i="5" s="1"/>
  <c r="Z48" i="9"/>
  <c r="F164" i="5" s="1"/>
  <c r="AA48" i="9"/>
  <c r="G164" i="5" s="1"/>
  <c r="AN48" i="9"/>
  <c r="AB48" i="9"/>
  <c r="M25" i="11"/>
  <c r="V49" i="9"/>
  <c r="M26" i="11"/>
  <c r="V50" i="9"/>
  <c r="B167" i="5"/>
  <c r="B191" i="5" s="1"/>
  <c r="C191" i="5" s="1"/>
  <c r="M27" i="11"/>
  <c r="B159" i="5"/>
  <c r="V43" i="9"/>
  <c r="M19" i="11"/>
  <c r="B155" i="5"/>
  <c r="F613" i="10" s="1"/>
  <c r="M15" i="11"/>
  <c r="V39" i="9"/>
  <c r="B162" i="5"/>
  <c r="B186" i="5" s="1"/>
  <c r="C186" i="5" s="1"/>
  <c r="M22" i="11"/>
  <c r="B165" i="5"/>
  <c r="B151" i="5"/>
  <c r="B175" i="5" s="1"/>
  <c r="V35" i="9"/>
  <c r="M11" i="11"/>
  <c r="B163" i="5"/>
  <c r="B187" i="5" s="1"/>
  <c r="C187" i="5" s="1"/>
  <c r="M23" i="11"/>
  <c r="B181" i="5"/>
  <c r="C181" i="5" s="1"/>
  <c r="M157" i="5"/>
  <c r="B170" i="5"/>
  <c r="B194" i="5" s="1"/>
  <c r="C194" i="5" s="1"/>
  <c r="M30" i="11"/>
  <c r="M18" i="11"/>
  <c r="V42" i="9"/>
  <c r="B154" i="5"/>
  <c r="F612" i="10" s="1"/>
  <c r="M14" i="11"/>
  <c r="V38" i="9"/>
  <c r="B166" i="5"/>
  <c r="F624" i="10" s="1"/>
  <c r="B169" i="5"/>
  <c r="F627" i="10" s="1"/>
  <c r="M29" i="11"/>
  <c r="B161" i="5"/>
  <c r="V45" i="9"/>
  <c r="M21" i="11"/>
  <c r="V41" i="9"/>
  <c r="M17" i="11"/>
  <c r="B153" i="5"/>
  <c r="F611" i="10" s="1"/>
  <c r="V37" i="9"/>
  <c r="M13" i="11"/>
  <c r="B168" i="5"/>
  <c r="B192" i="5" s="1"/>
  <c r="C192" i="5" s="1"/>
  <c r="M28" i="11"/>
  <c r="B164" i="5"/>
  <c r="F622" i="10" s="1"/>
  <c r="M24" i="11"/>
  <c r="B160" i="5"/>
  <c r="V44" i="9"/>
  <c r="M20" i="11"/>
  <c r="B156" i="5"/>
  <c r="B180" i="5" s="1"/>
  <c r="C180" i="5" s="1"/>
  <c r="V40" i="9"/>
  <c r="M16" i="11"/>
  <c r="B152" i="5"/>
  <c r="B176" i="5" s="1"/>
  <c r="V36" i="9"/>
  <c r="B158" i="5"/>
  <c r="F616" i="10" s="1"/>
  <c r="F617" i="10"/>
  <c r="F615" i="10"/>
  <c r="K11" i="11"/>
  <c r="K552" i="10"/>
  <c r="J552" i="10"/>
  <c r="I97" i="10"/>
  <c r="N341" i="10"/>
  <c r="K341" i="10"/>
  <c r="H341" i="10"/>
  <c r="N298" i="10"/>
  <c r="H265" i="10"/>
  <c r="H264" i="10"/>
  <c r="H262" i="10"/>
  <c r="H261" i="10"/>
  <c r="H255" i="10"/>
  <c r="H253" i="10"/>
  <c r="H252" i="10"/>
  <c r="F247" i="10"/>
  <c r="F155" i="10"/>
  <c r="AA43" i="9" l="1"/>
  <c r="G159" i="5" s="1"/>
  <c r="AI43" i="9"/>
  <c r="AQ43" i="9"/>
  <c r="AY43" i="9"/>
  <c r="AB43" i="9"/>
  <c r="AJ43" i="9"/>
  <c r="AR43" i="9"/>
  <c r="AZ43" i="9"/>
  <c r="L159" i="5" s="1"/>
  <c r="AC43" i="9"/>
  <c r="AK43" i="9"/>
  <c r="I159" i="5" s="1"/>
  <c r="AS43" i="9"/>
  <c r="Z43" i="9"/>
  <c r="F159" i="5" s="1"/>
  <c r="AN43" i="9"/>
  <c r="AD43" i="9"/>
  <c r="AO43" i="9"/>
  <c r="AU43" i="9"/>
  <c r="K159" i="5" s="1"/>
  <c r="AH43" i="9"/>
  <c r="AV43" i="9"/>
  <c r="AE43" i="9"/>
  <c r="AP43" i="9"/>
  <c r="J159" i="5" s="1"/>
  <c r="AG43" i="9"/>
  <c r="W43" i="9"/>
  <c r="C159" i="5" s="1"/>
  <c r="AF43" i="9"/>
  <c r="H159" i="5" s="1"/>
  <c r="AT43" i="9"/>
  <c r="AW43" i="9"/>
  <c r="AX43" i="9"/>
  <c r="X43" i="9"/>
  <c r="D159" i="5" s="1"/>
  <c r="AM43" i="9"/>
  <c r="AL43" i="9"/>
  <c r="Y43" i="9"/>
  <c r="E159" i="5" s="1"/>
  <c r="AC44" i="9"/>
  <c r="AK44" i="9"/>
  <c r="I160" i="5" s="1"/>
  <c r="AS44" i="9"/>
  <c r="AD44" i="9"/>
  <c r="AL44" i="9"/>
  <c r="AT44" i="9"/>
  <c r="W44" i="9"/>
  <c r="C160" i="5" s="1"/>
  <c r="G618" i="10" s="1"/>
  <c r="AE44" i="9"/>
  <c r="AM44" i="9"/>
  <c r="AU44" i="9"/>
  <c r="K160" i="5" s="1"/>
  <c r="X44" i="9"/>
  <c r="D160" i="5" s="1"/>
  <c r="AI44" i="9"/>
  <c r="AW44" i="9"/>
  <c r="Y44" i="9"/>
  <c r="E160" i="5" s="1"/>
  <c r="AJ44" i="9"/>
  <c r="AX44" i="9"/>
  <c r="AP44" i="9"/>
  <c r="J160" i="5" s="1"/>
  <c r="AF44" i="9"/>
  <c r="H160" i="5" s="1"/>
  <c r="AQ44" i="9"/>
  <c r="Z44" i="9"/>
  <c r="F160" i="5" s="1"/>
  <c r="AN44" i="9"/>
  <c r="AY44" i="9"/>
  <c r="AB44" i="9"/>
  <c r="AA44" i="9"/>
  <c r="G160" i="5" s="1"/>
  <c r="AO44" i="9"/>
  <c r="AZ44" i="9"/>
  <c r="L160" i="5" s="1"/>
  <c r="AG44" i="9"/>
  <c r="AH44" i="9"/>
  <c r="AV44" i="9"/>
  <c r="AR44" i="9"/>
  <c r="W41" i="9"/>
  <c r="C157" i="5" s="1"/>
  <c r="G615" i="10" s="1"/>
  <c r="AE41" i="9"/>
  <c r="AM41" i="9"/>
  <c r="AU41" i="9"/>
  <c r="K157" i="5" s="1"/>
  <c r="X41" i="9"/>
  <c r="D157" i="5" s="1"/>
  <c r="AF41" i="9"/>
  <c r="H157" i="5" s="1"/>
  <c r="AN41" i="9"/>
  <c r="AV41" i="9"/>
  <c r="Y41" i="9"/>
  <c r="E157" i="5" s="1"/>
  <c r="AG41" i="9"/>
  <c r="AO41" i="9"/>
  <c r="AW41" i="9"/>
  <c r="Z41" i="9"/>
  <c r="F157" i="5" s="1"/>
  <c r="AH41" i="9"/>
  <c r="AP41" i="9"/>
  <c r="J157" i="5" s="1"/>
  <c r="AX41" i="9"/>
  <c r="AA41" i="9"/>
  <c r="G157" i="5" s="1"/>
  <c r="AQ41" i="9"/>
  <c r="AB41" i="9"/>
  <c r="AR41" i="9"/>
  <c r="AI41" i="9"/>
  <c r="AY41" i="9"/>
  <c r="AJ41" i="9"/>
  <c r="AC41" i="9"/>
  <c r="AS41" i="9"/>
  <c r="AZ41" i="9"/>
  <c r="L157" i="5" s="1"/>
  <c r="AD41" i="9"/>
  <c r="AT41" i="9"/>
  <c r="AL41" i="9"/>
  <c r="AK41" i="9"/>
  <c r="I157" i="5" s="1"/>
  <c r="AA39" i="9"/>
  <c r="AI39" i="9"/>
  <c r="AQ39" i="9"/>
  <c r="AY39" i="9"/>
  <c r="AB39" i="9"/>
  <c r="AJ39" i="9"/>
  <c r="AR39" i="9"/>
  <c r="AZ39" i="9"/>
  <c r="AC39" i="9"/>
  <c r="AK39" i="9"/>
  <c r="AS39" i="9"/>
  <c r="AD39" i="9"/>
  <c r="AL39" i="9"/>
  <c r="AT39" i="9"/>
  <c r="W39" i="9"/>
  <c r="AM39" i="9"/>
  <c r="X39" i="9"/>
  <c r="AN39" i="9"/>
  <c r="AE39" i="9"/>
  <c r="AF39" i="9"/>
  <c r="Y39" i="9"/>
  <c r="AO39" i="9"/>
  <c r="AU39" i="9"/>
  <c r="AV39" i="9"/>
  <c r="Z39" i="9"/>
  <c r="AP39" i="9"/>
  <c r="AW39" i="9"/>
  <c r="AX39" i="9"/>
  <c r="AG39" i="9"/>
  <c r="AH39" i="9"/>
  <c r="Y50" i="9"/>
  <c r="E166" i="5" s="1"/>
  <c r="AG50" i="9"/>
  <c r="AO50" i="9"/>
  <c r="AW50" i="9"/>
  <c r="Z50" i="9"/>
  <c r="F166" i="5" s="1"/>
  <c r="AP50" i="9"/>
  <c r="J166" i="5" s="1"/>
  <c r="AH50" i="9"/>
  <c r="AX50" i="9"/>
  <c r="AA50" i="9"/>
  <c r="G166" i="5" s="1"/>
  <c r="AI50" i="9"/>
  <c r="AQ50" i="9"/>
  <c r="AY50" i="9"/>
  <c r="AJ50" i="9"/>
  <c r="AU50" i="9"/>
  <c r="K166" i="5" s="1"/>
  <c r="X50" i="9"/>
  <c r="D166" i="5" s="1"/>
  <c r="W50" i="9"/>
  <c r="C166" i="5" s="1"/>
  <c r="AK50" i="9"/>
  <c r="I166" i="5" s="1"/>
  <c r="AV50" i="9"/>
  <c r="AN50" i="9"/>
  <c r="AL50" i="9"/>
  <c r="AZ50" i="9"/>
  <c r="L166" i="5" s="1"/>
  <c r="AB50" i="9"/>
  <c r="AC50" i="9"/>
  <c r="AM50" i="9"/>
  <c r="AT50" i="9"/>
  <c r="AR50" i="9"/>
  <c r="AS50" i="9"/>
  <c r="AD50" i="9"/>
  <c r="AF50" i="9"/>
  <c r="H166" i="5" s="1"/>
  <c r="AE50" i="9"/>
  <c r="W45" i="9"/>
  <c r="C161" i="5" s="1"/>
  <c r="AE45" i="9"/>
  <c r="AM45" i="9"/>
  <c r="AU45" i="9"/>
  <c r="K161" i="5" s="1"/>
  <c r="AN45" i="9"/>
  <c r="X45" i="9"/>
  <c r="D161" i="5" s="1"/>
  <c r="AF45" i="9"/>
  <c r="H161" i="5" s="1"/>
  <c r="AV45" i="9"/>
  <c r="Y45" i="9"/>
  <c r="E161" i="5" s="1"/>
  <c r="AG45" i="9"/>
  <c r="AO45" i="9"/>
  <c r="AW45" i="9"/>
  <c r="AD45" i="9"/>
  <c r="AR45" i="9"/>
  <c r="AH45" i="9"/>
  <c r="AS45" i="9"/>
  <c r="AK45" i="9"/>
  <c r="I161" i="5" s="1"/>
  <c r="AA45" i="9"/>
  <c r="G161" i="5" s="1"/>
  <c r="AL45" i="9"/>
  <c r="AZ45" i="9"/>
  <c r="L161" i="5" s="1"/>
  <c r="AI45" i="9"/>
  <c r="AT45" i="9"/>
  <c r="Z45" i="9"/>
  <c r="F161" i="5" s="1"/>
  <c r="AY45" i="9"/>
  <c r="AJ45" i="9"/>
  <c r="AX45" i="9"/>
  <c r="AP45" i="9"/>
  <c r="J161" i="5" s="1"/>
  <c r="AQ45" i="9"/>
  <c r="AB45" i="9"/>
  <c r="AC45" i="9"/>
  <c r="Y42" i="9"/>
  <c r="E158" i="5" s="1"/>
  <c r="AG42" i="9"/>
  <c r="AO42" i="9"/>
  <c r="AW42" i="9"/>
  <c r="Z42" i="9"/>
  <c r="F158" i="5" s="1"/>
  <c r="AH42" i="9"/>
  <c r="AP42" i="9"/>
  <c r="J158" i="5" s="1"/>
  <c r="AX42" i="9"/>
  <c r="AA42" i="9"/>
  <c r="G158" i="5" s="1"/>
  <c r="AI42" i="9"/>
  <c r="AQ42" i="9"/>
  <c r="AY42" i="9"/>
  <c r="AB42" i="9"/>
  <c r="AJ42" i="9"/>
  <c r="AR42" i="9"/>
  <c r="AC42" i="9"/>
  <c r="AS42" i="9"/>
  <c r="AD42" i="9"/>
  <c r="AT42" i="9"/>
  <c r="AZ42" i="9"/>
  <c r="L158" i="5" s="1"/>
  <c r="AL42" i="9"/>
  <c r="AE42" i="9"/>
  <c r="AU42" i="9"/>
  <c r="K158" i="5" s="1"/>
  <c r="AK42" i="9"/>
  <c r="I158" i="5" s="1"/>
  <c r="AF42" i="9"/>
  <c r="H158" i="5" s="1"/>
  <c r="AV42" i="9"/>
  <c r="W42" i="9"/>
  <c r="C158" i="5" s="1"/>
  <c r="G616" i="10" s="1"/>
  <c r="X42" i="9"/>
  <c r="D158" i="5" s="1"/>
  <c r="AM42" i="9"/>
  <c r="AN42" i="9"/>
  <c r="W49" i="9"/>
  <c r="C165" i="5" s="1"/>
  <c r="G623" i="10" s="1"/>
  <c r="AE49" i="9"/>
  <c r="AM49" i="9"/>
  <c r="AU49" i="9"/>
  <c r="K165" i="5" s="1"/>
  <c r="X49" i="9"/>
  <c r="D165" i="5" s="1"/>
  <c r="AN49" i="9"/>
  <c r="AF49" i="9"/>
  <c r="H165" i="5" s="1"/>
  <c r="AV49" i="9"/>
  <c r="Y49" i="9"/>
  <c r="E165" i="5" s="1"/>
  <c r="AG49" i="9"/>
  <c r="AO49" i="9"/>
  <c r="AW49" i="9"/>
  <c r="AA49" i="9"/>
  <c r="G165" i="5" s="1"/>
  <c r="AL49" i="9"/>
  <c r="AZ49" i="9"/>
  <c r="L165" i="5" s="1"/>
  <c r="AB49" i="9"/>
  <c r="AP49" i="9"/>
  <c r="J165" i="5" s="1"/>
  <c r="AQ49" i="9"/>
  <c r="AR49" i="9"/>
  <c r="AS49" i="9"/>
  <c r="AC49" i="9"/>
  <c r="AH49" i="9"/>
  <c r="AD49" i="9"/>
  <c r="AT49" i="9"/>
  <c r="AX49" i="9"/>
  <c r="Z49" i="9"/>
  <c r="F165" i="5" s="1"/>
  <c r="AJ49" i="9"/>
  <c r="AY49" i="9"/>
  <c r="AK49" i="9"/>
  <c r="I165" i="5" s="1"/>
  <c r="AI49" i="9"/>
  <c r="AC40" i="9"/>
  <c r="AK40" i="9"/>
  <c r="I156" i="5" s="1"/>
  <c r="AS40" i="9"/>
  <c r="AD40" i="9"/>
  <c r="AL40" i="9"/>
  <c r="AT40" i="9"/>
  <c r="W40" i="9"/>
  <c r="C156" i="5" s="1"/>
  <c r="G614" i="10" s="1"/>
  <c r="AE40" i="9"/>
  <c r="AM40" i="9"/>
  <c r="AU40" i="9"/>
  <c r="K156" i="5" s="1"/>
  <c r="X40" i="9"/>
  <c r="D156" i="5" s="1"/>
  <c r="AF40" i="9"/>
  <c r="H156" i="5" s="1"/>
  <c r="AN40" i="9"/>
  <c r="AV40" i="9"/>
  <c r="Y40" i="9"/>
  <c r="E156" i="5" s="1"/>
  <c r="AO40" i="9"/>
  <c r="Z40" i="9"/>
  <c r="F156" i="5" s="1"/>
  <c r="AP40" i="9"/>
  <c r="J156" i="5" s="1"/>
  <c r="AG40" i="9"/>
  <c r="AH40" i="9"/>
  <c r="AA40" i="9"/>
  <c r="G156" i="5" s="1"/>
  <c r="AQ40" i="9"/>
  <c r="AW40" i="9"/>
  <c r="AX40" i="9"/>
  <c r="AB40" i="9"/>
  <c r="AR40" i="9"/>
  <c r="AY40" i="9"/>
  <c r="AZ40" i="9"/>
  <c r="L156" i="5" s="1"/>
  <c r="AI40" i="9"/>
  <c r="AJ40" i="9"/>
  <c r="D187" i="5"/>
  <c r="G645" i="10"/>
  <c r="D191" i="5"/>
  <c r="G649" i="10"/>
  <c r="D194" i="5"/>
  <c r="G652" i="10"/>
  <c r="D192" i="5"/>
  <c r="G650" i="10"/>
  <c r="D181" i="5"/>
  <c r="G639" i="10"/>
  <c r="D186" i="5"/>
  <c r="G644" i="10"/>
  <c r="D180" i="5"/>
  <c r="G638" i="10"/>
  <c r="B179" i="5"/>
  <c r="C179" i="5" s="1"/>
  <c r="F628" i="10"/>
  <c r="F625" i="10"/>
  <c r="F620" i="10"/>
  <c r="F639" i="10"/>
  <c r="F673" i="10" s="1"/>
  <c r="G673" i="10" s="1"/>
  <c r="H673" i="10" s="1"/>
  <c r="I673" i="10" s="1"/>
  <c r="J673" i="10" s="1"/>
  <c r="K673" i="10" s="1"/>
  <c r="L673" i="10" s="1"/>
  <c r="M673" i="10" s="1"/>
  <c r="N673" i="10" s="1"/>
  <c r="O673" i="10" s="1"/>
  <c r="P673" i="10" s="1"/>
  <c r="F609" i="10"/>
  <c r="B177" i="5"/>
  <c r="F635" i="10" s="1"/>
  <c r="F669" i="10" s="1"/>
  <c r="M161" i="5"/>
  <c r="M31" i="11"/>
  <c r="M168" i="5"/>
  <c r="G626" i="10"/>
  <c r="M163" i="5"/>
  <c r="B189" i="5"/>
  <c r="C189" i="5" s="1"/>
  <c r="M165" i="5"/>
  <c r="F623" i="10"/>
  <c r="F626" i="10"/>
  <c r="B185" i="5"/>
  <c r="C185" i="5" s="1"/>
  <c r="F618" i="10"/>
  <c r="M156" i="5"/>
  <c r="F614" i="10"/>
  <c r="F619" i="10"/>
  <c r="B184" i="5"/>
  <c r="C184" i="5" s="1"/>
  <c r="M164" i="5"/>
  <c r="G627" i="10"/>
  <c r="M169" i="5"/>
  <c r="M170" i="5"/>
  <c r="G620" i="10"/>
  <c r="M162" i="5"/>
  <c r="F621" i="10"/>
  <c r="B188" i="5"/>
  <c r="C188" i="5" s="1"/>
  <c r="B193" i="5"/>
  <c r="C193" i="5" s="1"/>
  <c r="B178" i="5"/>
  <c r="B183" i="5"/>
  <c r="C183" i="5" s="1"/>
  <c r="F610" i="10"/>
  <c r="B182" i="5"/>
  <c r="C182" i="5" s="1"/>
  <c r="M158" i="5"/>
  <c r="B190" i="5"/>
  <c r="C190" i="5" s="1"/>
  <c r="M166" i="5"/>
  <c r="M167" i="5"/>
  <c r="F634" i="10"/>
  <c r="F668" i="10" s="1"/>
  <c r="F649" i="10"/>
  <c r="F683" i="10" s="1"/>
  <c r="G683" i="10" s="1"/>
  <c r="H683" i="10" s="1"/>
  <c r="I683" i="10" s="1"/>
  <c r="J683" i="10" s="1"/>
  <c r="K683" i="10" s="1"/>
  <c r="L683" i="10" s="1"/>
  <c r="M683" i="10" s="1"/>
  <c r="N683" i="10" s="1"/>
  <c r="O683" i="10" s="1"/>
  <c r="P683" i="10" s="1"/>
  <c r="F644" i="10"/>
  <c r="F678" i="10" s="1"/>
  <c r="G678" i="10" s="1"/>
  <c r="H678" i="10" s="1"/>
  <c r="I678" i="10" s="1"/>
  <c r="J678" i="10" s="1"/>
  <c r="K678" i="10" s="1"/>
  <c r="L678" i="10" s="1"/>
  <c r="M678" i="10" s="1"/>
  <c r="N678" i="10" s="1"/>
  <c r="O678" i="10" s="1"/>
  <c r="P678" i="10" s="1"/>
  <c r="F650" i="10"/>
  <c r="F684" i="10" s="1"/>
  <c r="G684" i="10" s="1"/>
  <c r="H684" i="10" s="1"/>
  <c r="I684" i="10" s="1"/>
  <c r="J684" i="10" s="1"/>
  <c r="K684" i="10" s="1"/>
  <c r="L684" i="10" s="1"/>
  <c r="M684" i="10" s="1"/>
  <c r="N684" i="10" s="1"/>
  <c r="O684" i="10" s="1"/>
  <c r="P684" i="10" s="1"/>
  <c r="F645" i="10"/>
  <c r="F679" i="10" s="1"/>
  <c r="G679" i="10" s="1"/>
  <c r="H679" i="10" s="1"/>
  <c r="I679" i="10" s="1"/>
  <c r="J679" i="10" s="1"/>
  <c r="K679" i="10" s="1"/>
  <c r="L679" i="10" s="1"/>
  <c r="M679" i="10" s="1"/>
  <c r="N679" i="10" s="1"/>
  <c r="O679" i="10" s="1"/>
  <c r="P679" i="10" s="1"/>
  <c r="F638" i="10"/>
  <c r="F672" i="10" s="1"/>
  <c r="G672" i="10" s="1"/>
  <c r="H672" i="10" s="1"/>
  <c r="I672" i="10" s="1"/>
  <c r="J672" i="10" s="1"/>
  <c r="K672" i="10" s="1"/>
  <c r="L672" i="10" s="1"/>
  <c r="M672" i="10" s="1"/>
  <c r="N672" i="10" s="1"/>
  <c r="O672" i="10" s="1"/>
  <c r="P672" i="10" s="1"/>
  <c r="F652" i="10"/>
  <c r="F686" i="10" s="1"/>
  <c r="G686" i="10" s="1"/>
  <c r="H686" i="10" s="1"/>
  <c r="I686" i="10" s="1"/>
  <c r="J686" i="10" s="1"/>
  <c r="K686" i="10" s="1"/>
  <c r="L686" i="10" s="1"/>
  <c r="M686" i="10" s="1"/>
  <c r="N686" i="10" s="1"/>
  <c r="O686" i="10" s="1"/>
  <c r="P686" i="10" s="1"/>
  <c r="F633" i="10"/>
  <c r="F667" i="10" s="1"/>
  <c r="G621" i="10"/>
  <c r="F301" i="10"/>
  <c r="F298" i="10" s="1"/>
  <c r="H266" i="10"/>
  <c r="H254" i="10"/>
  <c r="AZ32" i="9"/>
  <c r="AY32" i="9"/>
  <c r="AX32" i="9"/>
  <c r="AW32" i="9"/>
  <c r="AV32" i="9"/>
  <c r="AU32" i="9"/>
  <c r="AT32" i="9"/>
  <c r="AS32" i="9"/>
  <c r="AR32" i="9"/>
  <c r="AQ32" i="9"/>
  <c r="AP32" i="9"/>
  <c r="AO32" i="9"/>
  <c r="AN32" i="9"/>
  <c r="AM32" i="9"/>
  <c r="AL32" i="9"/>
  <c r="AK32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D58" i="5"/>
  <c r="J100" i="5"/>
  <c r="V27" i="9"/>
  <c r="V26" i="9"/>
  <c r="X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W15" i="9"/>
  <c r="D100" i="5"/>
  <c r="D64" i="5"/>
  <c r="D63" i="5"/>
  <c r="D56" i="5"/>
  <c r="D55" i="5"/>
  <c r="D67" i="5"/>
  <c r="D68" i="5"/>
  <c r="G100" i="5"/>
  <c r="K9" i="9"/>
  <c r="H9" i="9"/>
  <c r="B47" i="5"/>
  <c r="J88" i="5"/>
  <c r="C34" i="5"/>
  <c r="D213" i="10" s="1"/>
  <c r="D65" i="5"/>
  <c r="J25" i="4"/>
  <c r="AB21" i="4" s="1"/>
  <c r="D11" i="4"/>
  <c r="C19" i="4"/>
  <c r="H9" i="6"/>
  <c r="D14" i="5"/>
  <c r="C13" i="5"/>
  <c r="B11" i="5"/>
  <c r="H9" i="7"/>
  <c r="K9" i="7"/>
  <c r="B21" i="7" s="1"/>
  <c r="L21" i="7" s="1"/>
  <c r="K9" i="6"/>
  <c r="B41" i="6" s="1"/>
  <c r="L41" i="6" s="1"/>
  <c r="D19" i="1"/>
  <c r="H19" i="1" s="1"/>
  <c r="E25" i="1" s="1"/>
  <c r="H17" i="1"/>
  <c r="F637" i="10" l="1"/>
  <c r="F671" i="10" s="1"/>
  <c r="G671" i="10" s="1"/>
  <c r="H671" i="10" s="1"/>
  <c r="I671" i="10" s="1"/>
  <c r="J671" i="10" s="1"/>
  <c r="K671" i="10" s="1"/>
  <c r="L671" i="10" s="1"/>
  <c r="M671" i="10" s="1"/>
  <c r="N671" i="10" s="1"/>
  <c r="O671" i="10" s="1"/>
  <c r="P671" i="10" s="1"/>
  <c r="J239" i="10"/>
  <c r="D23" i="4"/>
  <c r="AB15" i="4" s="1"/>
  <c r="L180" i="7"/>
  <c r="B97" i="6"/>
  <c r="L97" i="6" s="1"/>
  <c r="L144" i="7"/>
  <c r="D91" i="5"/>
  <c r="D88" i="5" s="1"/>
  <c r="F643" i="10"/>
  <c r="F677" i="10" s="1"/>
  <c r="G677" i="10" s="1"/>
  <c r="H677" i="10" s="1"/>
  <c r="I677" i="10" s="1"/>
  <c r="J677" i="10" s="1"/>
  <c r="K677" i="10" s="1"/>
  <c r="L677" i="10" s="1"/>
  <c r="M677" i="10" s="1"/>
  <c r="N677" i="10" s="1"/>
  <c r="O677" i="10" s="1"/>
  <c r="P677" i="10" s="1"/>
  <c r="D188" i="5"/>
  <c r="G646" i="10"/>
  <c r="E186" i="5"/>
  <c r="H644" i="10"/>
  <c r="E192" i="5"/>
  <c r="H650" i="10"/>
  <c r="D190" i="5"/>
  <c r="G648" i="10"/>
  <c r="D183" i="5"/>
  <c r="G641" i="10"/>
  <c r="D185" i="5"/>
  <c r="G643" i="10"/>
  <c r="D189" i="5"/>
  <c r="G647" i="10"/>
  <c r="D182" i="5"/>
  <c r="G640" i="10"/>
  <c r="D193" i="5"/>
  <c r="G651" i="10"/>
  <c r="D184" i="5"/>
  <c r="G642" i="10"/>
  <c r="E191" i="5"/>
  <c r="H649" i="10"/>
  <c r="D179" i="5"/>
  <c r="G637" i="10"/>
  <c r="E180" i="5"/>
  <c r="H638" i="10"/>
  <c r="E181" i="5"/>
  <c r="H639" i="10"/>
  <c r="E194" i="5"/>
  <c r="H652" i="10"/>
  <c r="E187" i="5"/>
  <c r="H645" i="10"/>
  <c r="F641" i="10"/>
  <c r="F675" i="10" s="1"/>
  <c r="G675" i="10" s="1"/>
  <c r="H675" i="10" s="1"/>
  <c r="I675" i="10" s="1"/>
  <c r="J675" i="10" s="1"/>
  <c r="K675" i="10" s="1"/>
  <c r="L675" i="10" s="1"/>
  <c r="M675" i="10" s="1"/>
  <c r="N675" i="10" s="1"/>
  <c r="O675" i="10" s="1"/>
  <c r="P675" i="10" s="1"/>
  <c r="F636" i="10"/>
  <c r="F670" i="10" s="1"/>
  <c r="F642" i="10"/>
  <c r="F676" i="10" s="1"/>
  <c r="G676" i="10" s="1"/>
  <c r="H676" i="10" s="1"/>
  <c r="I676" i="10" s="1"/>
  <c r="J676" i="10" s="1"/>
  <c r="K676" i="10" s="1"/>
  <c r="L676" i="10" s="1"/>
  <c r="M676" i="10" s="1"/>
  <c r="N676" i="10" s="1"/>
  <c r="O676" i="10" s="1"/>
  <c r="P676" i="10" s="1"/>
  <c r="F651" i="10"/>
  <c r="F685" i="10" s="1"/>
  <c r="G685" i="10" s="1"/>
  <c r="H685" i="10" s="1"/>
  <c r="I685" i="10" s="1"/>
  <c r="J685" i="10" s="1"/>
  <c r="K685" i="10" s="1"/>
  <c r="L685" i="10" s="1"/>
  <c r="M685" i="10" s="1"/>
  <c r="N685" i="10" s="1"/>
  <c r="O685" i="10" s="1"/>
  <c r="P685" i="10" s="1"/>
  <c r="F646" i="10"/>
  <c r="F680" i="10" s="1"/>
  <c r="G680" i="10" s="1"/>
  <c r="H680" i="10" s="1"/>
  <c r="I680" i="10" s="1"/>
  <c r="J680" i="10" s="1"/>
  <c r="K680" i="10" s="1"/>
  <c r="L680" i="10" s="1"/>
  <c r="M680" i="10" s="1"/>
  <c r="N680" i="10" s="1"/>
  <c r="O680" i="10" s="1"/>
  <c r="P680" i="10" s="1"/>
  <c r="F640" i="10"/>
  <c r="F674" i="10" s="1"/>
  <c r="G674" i="10" s="1"/>
  <c r="H674" i="10" s="1"/>
  <c r="I674" i="10" s="1"/>
  <c r="J674" i="10" s="1"/>
  <c r="K674" i="10" s="1"/>
  <c r="L674" i="10" s="1"/>
  <c r="M674" i="10" s="1"/>
  <c r="N674" i="10" s="1"/>
  <c r="O674" i="10" s="1"/>
  <c r="P674" i="10" s="1"/>
  <c r="G622" i="10"/>
  <c r="G617" i="10"/>
  <c r="G625" i="10"/>
  <c r="G624" i="10"/>
  <c r="M159" i="5"/>
  <c r="M160" i="5"/>
  <c r="G619" i="10"/>
  <c r="F648" i="10"/>
  <c r="F682" i="10" s="1"/>
  <c r="G682" i="10" s="1"/>
  <c r="H682" i="10" s="1"/>
  <c r="I682" i="10" s="1"/>
  <c r="J682" i="10" s="1"/>
  <c r="K682" i="10" s="1"/>
  <c r="L682" i="10" s="1"/>
  <c r="M682" i="10" s="1"/>
  <c r="N682" i="10" s="1"/>
  <c r="O682" i="10" s="1"/>
  <c r="P682" i="10" s="1"/>
  <c r="F647" i="10"/>
  <c r="F681" i="10" s="1"/>
  <c r="G681" i="10" s="1"/>
  <c r="H681" i="10" s="1"/>
  <c r="I681" i="10" s="1"/>
  <c r="J681" i="10" s="1"/>
  <c r="K681" i="10" s="1"/>
  <c r="L681" i="10" s="1"/>
  <c r="M681" i="10" s="1"/>
  <c r="N681" i="10" s="1"/>
  <c r="O681" i="10" s="1"/>
  <c r="P681" i="10" s="1"/>
  <c r="G628" i="10"/>
  <c r="H622" i="10"/>
  <c r="H619" i="10"/>
  <c r="H615" i="10"/>
  <c r="H614" i="10"/>
  <c r="H618" i="10"/>
  <c r="L223" i="7"/>
  <c r="H627" i="10"/>
  <c r="L340" i="7"/>
  <c r="H624" i="10"/>
  <c r="H623" i="10"/>
  <c r="H628" i="10"/>
  <c r="L351" i="7"/>
  <c r="H269" i="10"/>
  <c r="AB14" i="4"/>
  <c r="H621" i="10"/>
  <c r="H625" i="10"/>
  <c r="H616" i="10"/>
  <c r="H620" i="10"/>
  <c r="H617" i="10"/>
  <c r="L95" i="7"/>
  <c r="H626" i="10"/>
  <c r="L102" i="7"/>
  <c r="L255" i="7"/>
  <c r="L74" i="7"/>
  <c r="L151" i="7"/>
  <c r="L276" i="7"/>
  <c r="L59" i="7"/>
  <c r="L130" i="7"/>
  <c r="L191" i="7"/>
  <c r="L298" i="7"/>
  <c r="B316" i="6"/>
  <c r="L316" i="6" s="1"/>
  <c r="L66" i="7"/>
  <c r="L116" i="7"/>
  <c r="L172" i="7"/>
  <c r="L234" i="7"/>
  <c r="L308" i="7"/>
  <c r="B337" i="6"/>
  <c r="C337" i="6" s="1"/>
  <c r="L47" i="7"/>
  <c r="L87" i="7"/>
  <c r="L123" i="7"/>
  <c r="L159" i="7"/>
  <c r="L212" i="7"/>
  <c r="L266" i="7"/>
  <c r="L319" i="7"/>
  <c r="B292" i="6"/>
  <c r="L292" i="6" s="1"/>
  <c r="B356" i="6"/>
  <c r="L356" i="6" s="1"/>
  <c r="B261" i="6"/>
  <c r="L261" i="6" s="1"/>
  <c r="L53" i="7"/>
  <c r="L80" i="7"/>
  <c r="L108" i="7"/>
  <c r="L138" i="7"/>
  <c r="L166" i="7"/>
  <c r="L202" i="7"/>
  <c r="L244" i="7"/>
  <c r="L287" i="7"/>
  <c r="L330" i="7"/>
  <c r="B212" i="6"/>
  <c r="L212" i="6" s="1"/>
  <c r="B166" i="6"/>
  <c r="L166" i="6" s="1"/>
  <c r="B353" i="6"/>
  <c r="L353" i="6" s="1"/>
  <c r="B313" i="6"/>
  <c r="L313" i="6" s="1"/>
  <c r="B260" i="6"/>
  <c r="L260" i="6" s="1"/>
  <c r="B154" i="6"/>
  <c r="L154" i="6" s="1"/>
  <c r="L43" i="7"/>
  <c r="L54" i="7"/>
  <c r="L68" i="7"/>
  <c r="L82" i="7"/>
  <c r="L103" i="7"/>
  <c r="L118" i="7"/>
  <c r="L124" i="7"/>
  <c r="L139" i="7"/>
  <c r="L154" i="7"/>
  <c r="L167" i="7"/>
  <c r="L182" i="7"/>
  <c r="L203" i="7"/>
  <c r="L224" i="7"/>
  <c r="L246" i="7"/>
  <c r="L267" i="7"/>
  <c r="L288" i="7"/>
  <c r="L310" i="7"/>
  <c r="L331" i="7"/>
  <c r="L352" i="7"/>
  <c r="B13" i="7"/>
  <c r="L13" i="7" s="1"/>
  <c r="B37" i="7"/>
  <c r="L37" i="7" s="1"/>
  <c r="B328" i="6"/>
  <c r="L328" i="6" s="1"/>
  <c r="B278" i="6"/>
  <c r="L278" i="6" s="1"/>
  <c r="B138" i="6"/>
  <c r="C138" i="6" s="1"/>
  <c r="L45" i="7"/>
  <c r="L55" i="7"/>
  <c r="L63" i="7"/>
  <c r="L76" i="7"/>
  <c r="L84" i="7"/>
  <c r="L91" i="7"/>
  <c r="L98" i="7"/>
  <c r="L106" i="7"/>
  <c r="L112" i="7"/>
  <c r="L119" i="7"/>
  <c r="L127" i="7"/>
  <c r="L134" i="7"/>
  <c r="L140" i="7"/>
  <c r="L148" i="7"/>
  <c r="L155" i="7"/>
  <c r="L162" i="7"/>
  <c r="L170" i="7"/>
  <c r="L176" i="7"/>
  <c r="L186" i="7"/>
  <c r="L196" i="7"/>
  <c r="L207" i="7"/>
  <c r="L218" i="7"/>
  <c r="L228" i="7"/>
  <c r="L239" i="7"/>
  <c r="L250" i="7"/>
  <c r="L260" i="7"/>
  <c r="L271" i="7"/>
  <c r="L282" i="7"/>
  <c r="L292" i="7"/>
  <c r="L303" i="7"/>
  <c r="L314" i="7"/>
  <c r="L324" i="7"/>
  <c r="L335" i="7"/>
  <c r="L346" i="7"/>
  <c r="L356" i="7"/>
  <c r="L367" i="7"/>
  <c r="B20" i="7"/>
  <c r="C20" i="7" s="1"/>
  <c r="G560" i="10" s="1"/>
  <c r="B41" i="7"/>
  <c r="F581" i="10" s="1"/>
  <c r="L362" i="7"/>
  <c r="B30" i="7"/>
  <c r="L30" i="7" s="1"/>
  <c r="B12" i="6"/>
  <c r="L12" i="6" s="1"/>
  <c r="B334" i="6"/>
  <c r="L334" i="6" s="1"/>
  <c r="B286" i="6"/>
  <c r="L286" i="6" s="1"/>
  <c r="B209" i="6"/>
  <c r="L209" i="6" s="1"/>
  <c r="B96" i="6"/>
  <c r="L96" i="6" s="1"/>
  <c r="L49" i="7"/>
  <c r="L60" i="7"/>
  <c r="L75" i="7"/>
  <c r="L90" i="7"/>
  <c r="L96" i="7"/>
  <c r="L111" i="7"/>
  <c r="L132" i="7"/>
  <c r="L146" i="7"/>
  <c r="L160" i="7"/>
  <c r="L175" i="7"/>
  <c r="L192" i="7"/>
  <c r="L214" i="7"/>
  <c r="L235" i="7"/>
  <c r="L256" i="7"/>
  <c r="L278" i="7"/>
  <c r="L299" i="7"/>
  <c r="L320" i="7"/>
  <c r="L342" i="7"/>
  <c r="L363" i="7"/>
  <c r="B365" i="6"/>
  <c r="L365" i="6" s="1"/>
  <c r="B345" i="6"/>
  <c r="L345" i="6" s="1"/>
  <c r="B302" i="6"/>
  <c r="L302" i="6" s="1"/>
  <c r="B240" i="6"/>
  <c r="L240" i="6" s="1"/>
  <c r="B190" i="6"/>
  <c r="L190" i="6" s="1"/>
  <c r="B68" i="6"/>
  <c r="C68" i="6" s="1"/>
  <c r="L50" i="7"/>
  <c r="L70" i="7"/>
  <c r="B364" i="6"/>
  <c r="B344" i="6"/>
  <c r="L344" i="6" s="1"/>
  <c r="B324" i="6"/>
  <c r="L324" i="6" s="1"/>
  <c r="B301" i="6"/>
  <c r="L301" i="6" s="1"/>
  <c r="B273" i="6"/>
  <c r="L273" i="6" s="1"/>
  <c r="B233" i="6"/>
  <c r="L233" i="6" s="1"/>
  <c r="B182" i="6"/>
  <c r="L182" i="6" s="1"/>
  <c r="B126" i="6"/>
  <c r="L126" i="6" s="1"/>
  <c r="B21" i="6"/>
  <c r="L21" i="6" s="1"/>
  <c r="L46" i="7"/>
  <c r="L51" i="7"/>
  <c r="L58" i="7"/>
  <c r="L64" i="7"/>
  <c r="L71" i="7"/>
  <c r="L79" i="7"/>
  <c r="L86" i="7"/>
  <c r="L92" i="7"/>
  <c r="L100" i="7"/>
  <c r="L107" i="7"/>
  <c r="L114" i="7"/>
  <c r="L122" i="7"/>
  <c r="L128" i="7"/>
  <c r="L135" i="7"/>
  <c r="L143" i="7"/>
  <c r="L150" i="7"/>
  <c r="L156" i="7"/>
  <c r="L164" i="7"/>
  <c r="L171" i="7"/>
  <c r="L178" i="7"/>
  <c r="L187" i="7"/>
  <c r="L198" i="7"/>
  <c r="L208" i="7"/>
  <c r="L219" i="7"/>
  <c r="L230" i="7"/>
  <c r="L240" i="7"/>
  <c r="L251" i="7"/>
  <c r="L262" i="7"/>
  <c r="L272" i="7"/>
  <c r="L283" i="7"/>
  <c r="L294" i="7"/>
  <c r="L304" i="7"/>
  <c r="L315" i="7"/>
  <c r="L326" i="7"/>
  <c r="L336" i="7"/>
  <c r="L347" i="7"/>
  <c r="L358" i="7"/>
  <c r="L368" i="7"/>
  <c r="B53" i="6"/>
  <c r="B370" i="6"/>
  <c r="C370" i="6" s="1"/>
  <c r="B350" i="6"/>
  <c r="C350" i="6" s="1"/>
  <c r="B332" i="6"/>
  <c r="L332" i="6" s="1"/>
  <c r="B310" i="6"/>
  <c r="L310" i="6" s="1"/>
  <c r="B272" i="6"/>
  <c r="L272" i="6" s="1"/>
  <c r="B225" i="6"/>
  <c r="L225" i="6" s="1"/>
  <c r="B153" i="6"/>
  <c r="C153" i="6" s="1"/>
  <c r="F570" i="10"/>
  <c r="C316" i="6"/>
  <c r="B33" i="6"/>
  <c r="C33" i="6" s="1"/>
  <c r="B24" i="6"/>
  <c r="L24" i="6" s="1"/>
  <c r="B54" i="6"/>
  <c r="B84" i="6"/>
  <c r="L84" i="6" s="1"/>
  <c r="B112" i="6"/>
  <c r="L112" i="6" s="1"/>
  <c r="B140" i="6"/>
  <c r="L140" i="6" s="1"/>
  <c r="B161" i="6"/>
  <c r="B181" i="6"/>
  <c r="L181" i="6" s="1"/>
  <c r="B197" i="6"/>
  <c r="L197" i="6" s="1"/>
  <c r="B218" i="6"/>
  <c r="B238" i="6"/>
  <c r="L238" i="6" s="1"/>
  <c r="B254" i="6"/>
  <c r="L254" i="6" s="1"/>
  <c r="B268" i="6"/>
  <c r="B280" i="6"/>
  <c r="B289" i="6"/>
  <c r="L289" i="6" s="1"/>
  <c r="B300" i="6"/>
  <c r="B308" i="6"/>
  <c r="L308" i="6" s="1"/>
  <c r="B317" i="6"/>
  <c r="B360" i="6"/>
  <c r="B342" i="6"/>
  <c r="L342" i="6" s="1"/>
  <c r="B322" i="6"/>
  <c r="B296" i="6"/>
  <c r="B285" i="6"/>
  <c r="B252" i="6"/>
  <c r="B204" i="6"/>
  <c r="B176" i="6"/>
  <c r="B124" i="6"/>
  <c r="L124" i="6" s="1"/>
  <c r="B81" i="6"/>
  <c r="C81" i="6" s="1"/>
  <c r="B366" i="6"/>
  <c r="L366" i="6" s="1"/>
  <c r="B358" i="6"/>
  <c r="L358" i="6" s="1"/>
  <c r="B349" i="6"/>
  <c r="B338" i="6"/>
  <c r="B329" i="6"/>
  <c r="L329" i="6" s="1"/>
  <c r="B321" i="6"/>
  <c r="B306" i="6"/>
  <c r="B294" i="6"/>
  <c r="B281" i="6"/>
  <c r="L281" i="6" s="1"/>
  <c r="B265" i="6"/>
  <c r="L265" i="6" s="1"/>
  <c r="B246" i="6"/>
  <c r="B224" i="6"/>
  <c r="L224" i="6" s="1"/>
  <c r="B196" i="6"/>
  <c r="L196" i="6" s="1"/>
  <c r="B169" i="6"/>
  <c r="L169" i="6" s="1"/>
  <c r="B148" i="6"/>
  <c r="L148" i="6" s="1"/>
  <c r="B110" i="6"/>
  <c r="L110" i="6" s="1"/>
  <c r="B69" i="6"/>
  <c r="C69" i="6" s="1"/>
  <c r="B38" i="6"/>
  <c r="B36" i="7"/>
  <c r="C36" i="7" s="1"/>
  <c r="G576" i="10" s="1"/>
  <c r="B26" i="7"/>
  <c r="B16" i="7"/>
  <c r="C16" i="7" s="1"/>
  <c r="G556" i="10" s="1"/>
  <c r="L371" i="7"/>
  <c r="L366" i="7"/>
  <c r="L360" i="7"/>
  <c r="L355" i="7"/>
  <c r="L350" i="7"/>
  <c r="L344" i="7"/>
  <c r="L339" i="7"/>
  <c r="L334" i="7"/>
  <c r="L328" i="7"/>
  <c r="L323" i="7"/>
  <c r="L318" i="7"/>
  <c r="L312" i="7"/>
  <c r="L307" i="7"/>
  <c r="L302" i="7"/>
  <c r="L296" i="7"/>
  <c r="L291" i="7"/>
  <c r="L286" i="7"/>
  <c r="L280" i="7"/>
  <c r="L275" i="7"/>
  <c r="L270" i="7"/>
  <c r="L264" i="7"/>
  <c r="L259" i="7"/>
  <c r="L254" i="7"/>
  <c r="L248" i="7"/>
  <c r="L243" i="7"/>
  <c r="L238" i="7"/>
  <c r="L232" i="7"/>
  <c r="L227" i="7"/>
  <c r="L222" i="7"/>
  <c r="L216" i="7"/>
  <c r="L211" i="7"/>
  <c r="L206" i="7"/>
  <c r="L200" i="7"/>
  <c r="L195" i="7"/>
  <c r="L190" i="7"/>
  <c r="L184" i="7"/>
  <c r="L179" i="7"/>
  <c r="L174" i="7"/>
  <c r="L168" i="7"/>
  <c r="L163" i="7"/>
  <c r="L158" i="7"/>
  <c r="L152" i="7"/>
  <c r="L147" i="7"/>
  <c r="L142" i="7"/>
  <c r="L136" i="7"/>
  <c r="L131" i="7"/>
  <c r="L126" i="7"/>
  <c r="L120" i="7"/>
  <c r="L115" i="7"/>
  <c r="L110" i="7"/>
  <c r="L104" i="7"/>
  <c r="L99" i="7"/>
  <c r="L94" i="7"/>
  <c r="L88" i="7"/>
  <c r="L83" i="7"/>
  <c r="L78" i="7"/>
  <c r="L72" i="7"/>
  <c r="L67" i="7"/>
  <c r="L62" i="7"/>
  <c r="L56" i="7"/>
  <c r="L52" i="7"/>
  <c r="L48" i="7"/>
  <c r="L44" i="7"/>
  <c r="B42" i="7"/>
  <c r="F582" i="10" s="1"/>
  <c r="B34" i="7"/>
  <c r="C34" i="7" s="1"/>
  <c r="G574" i="10" s="1"/>
  <c r="B24" i="7"/>
  <c r="L24" i="7" s="1"/>
  <c r="B14" i="7"/>
  <c r="C14" i="7" s="1"/>
  <c r="G554" i="10" s="1"/>
  <c r="L370" i="7"/>
  <c r="L364" i="7"/>
  <c r="L359" i="7"/>
  <c r="L354" i="7"/>
  <c r="L348" i="7"/>
  <c r="L343" i="7"/>
  <c r="L338" i="7"/>
  <c r="L332" i="7"/>
  <c r="L327" i="7"/>
  <c r="L322" i="7"/>
  <c r="L316" i="7"/>
  <c r="L311" i="7"/>
  <c r="L306" i="7"/>
  <c r="L300" i="7"/>
  <c r="L295" i="7"/>
  <c r="L290" i="7"/>
  <c r="L284" i="7"/>
  <c r="L279" i="7"/>
  <c r="L274" i="7"/>
  <c r="L268" i="7"/>
  <c r="L263" i="7"/>
  <c r="L258" i="7"/>
  <c r="L252" i="7"/>
  <c r="L247" i="7"/>
  <c r="L242" i="7"/>
  <c r="L236" i="7"/>
  <c r="L231" i="7"/>
  <c r="L226" i="7"/>
  <c r="L220" i="7"/>
  <c r="L215" i="7"/>
  <c r="L210" i="7"/>
  <c r="L204" i="7"/>
  <c r="L199" i="7"/>
  <c r="L194" i="7"/>
  <c r="L188" i="7"/>
  <c r="L183" i="7"/>
  <c r="B29" i="7"/>
  <c r="L29" i="7" s="1"/>
  <c r="B133" i="6"/>
  <c r="C133" i="6" s="1"/>
  <c r="B118" i="6"/>
  <c r="B105" i="6"/>
  <c r="L105" i="6" s="1"/>
  <c r="B90" i="6"/>
  <c r="B76" i="6"/>
  <c r="B62" i="6"/>
  <c r="B48" i="6"/>
  <c r="C41" i="6"/>
  <c r="B14" i="6"/>
  <c r="B17" i="6"/>
  <c r="B25" i="6"/>
  <c r="B30" i="6"/>
  <c r="B35" i="6"/>
  <c r="B39" i="6"/>
  <c r="B43" i="6"/>
  <c r="B47" i="6"/>
  <c r="B51" i="6"/>
  <c r="B55" i="6"/>
  <c r="B59" i="6"/>
  <c r="B63" i="6"/>
  <c r="B67" i="6"/>
  <c r="B71" i="6"/>
  <c r="B75" i="6"/>
  <c r="B79" i="6"/>
  <c r="B83" i="6"/>
  <c r="B87" i="6"/>
  <c r="B91" i="6"/>
  <c r="B95" i="6"/>
  <c r="B99" i="6"/>
  <c r="B103" i="6"/>
  <c r="B107" i="6"/>
  <c r="B111" i="6"/>
  <c r="B115" i="6"/>
  <c r="B119" i="6"/>
  <c r="B123" i="6"/>
  <c r="B127" i="6"/>
  <c r="B131" i="6"/>
  <c r="B135" i="6"/>
  <c r="B139" i="6"/>
  <c r="B143" i="6"/>
  <c r="B147" i="6"/>
  <c r="B151" i="6"/>
  <c r="B155" i="6"/>
  <c r="B159" i="6"/>
  <c r="B163" i="6"/>
  <c r="B167" i="6"/>
  <c r="B171" i="6"/>
  <c r="B175" i="6"/>
  <c r="B179" i="6"/>
  <c r="B183" i="6"/>
  <c r="B187" i="6"/>
  <c r="B191" i="6"/>
  <c r="C191" i="6" s="1"/>
  <c r="B195" i="6"/>
  <c r="B199" i="6"/>
  <c r="B203" i="6"/>
  <c r="B207" i="6"/>
  <c r="B211" i="6"/>
  <c r="B215" i="6"/>
  <c r="B219" i="6"/>
  <c r="B223" i="6"/>
  <c r="B227" i="6"/>
  <c r="B231" i="6"/>
  <c r="B235" i="6"/>
  <c r="B239" i="6"/>
  <c r="B243" i="6"/>
  <c r="B247" i="6"/>
  <c r="B251" i="6"/>
  <c r="B255" i="6"/>
  <c r="B259" i="6"/>
  <c r="B263" i="6"/>
  <c r="B267" i="6"/>
  <c r="B271" i="6"/>
  <c r="B275" i="6"/>
  <c r="B20" i="6"/>
  <c r="B28" i="6"/>
  <c r="B34" i="6"/>
  <c r="B40" i="6"/>
  <c r="B45" i="6"/>
  <c r="B50" i="6"/>
  <c r="B56" i="6"/>
  <c r="B61" i="6"/>
  <c r="B66" i="6"/>
  <c r="B72" i="6"/>
  <c r="B77" i="6"/>
  <c r="L77" i="6" s="1"/>
  <c r="B82" i="6"/>
  <c r="B88" i="6"/>
  <c r="B93" i="6"/>
  <c r="C93" i="6" s="1"/>
  <c r="B98" i="6"/>
  <c r="B104" i="6"/>
  <c r="B109" i="6"/>
  <c r="C109" i="6" s="1"/>
  <c r="B114" i="6"/>
  <c r="B120" i="6"/>
  <c r="B125" i="6"/>
  <c r="C125" i="6" s="1"/>
  <c r="B130" i="6"/>
  <c r="B136" i="6"/>
  <c r="B141" i="6"/>
  <c r="L141" i="6" s="1"/>
  <c r="B146" i="6"/>
  <c r="B152" i="6"/>
  <c r="B157" i="6"/>
  <c r="C157" i="6" s="1"/>
  <c r="B162" i="6"/>
  <c r="B168" i="6"/>
  <c r="B173" i="6"/>
  <c r="B178" i="6"/>
  <c r="B184" i="6"/>
  <c r="B189" i="6"/>
  <c r="B194" i="6"/>
  <c r="B200" i="6"/>
  <c r="B205" i="6"/>
  <c r="B210" i="6"/>
  <c r="B216" i="6"/>
  <c r="B221" i="6"/>
  <c r="B226" i="6"/>
  <c r="B232" i="6"/>
  <c r="B237" i="6"/>
  <c r="B242" i="6"/>
  <c r="B248" i="6"/>
  <c r="B253" i="6"/>
  <c r="B258" i="6"/>
  <c r="B264" i="6"/>
  <c r="B269" i="6"/>
  <c r="B274" i="6"/>
  <c r="B279" i="6"/>
  <c r="B283" i="6"/>
  <c r="B287" i="6"/>
  <c r="B291" i="6"/>
  <c r="B295" i="6"/>
  <c r="B299" i="6"/>
  <c r="B303" i="6"/>
  <c r="B307" i="6"/>
  <c r="B311" i="6"/>
  <c r="B315" i="6"/>
  <c r="B319" i="6"/>
  <c r="B323" i="6"/>
  <c r="B327" i="6"/>
  <c r="B331" i="6"/>
  <c r="B335" i="6"/>
  <c r="B339" i="6"/>
  <c r="B343" i="6"/>
  <c r="B347" i="6"/>
  <c r="B351" i="6"/>
  <c r="B355" i="6"/>
  <c r="B359" i="6"/>
  <c r="B363" i="6"/>
  <c r="B367" i="6"/>
  <c r="B371" i="6"/>
  <c r="C371" i="6" s="1"/>
  <c r="B13" i="6"/>
  <c r="B26" i="6"/>
  <c r="B36" i="6"/>
  <c r="B42" i="6"/>
  <c r="B49" i="6"/>
  <c r="B57" i="6"/>
  <c r="B64" i="6"/>
  <c r="B70" i="6"/>
  <c r="B78" i="6"/>
  <c r="B85" i="6"/>
  <c r="C85" i="6" s="1"/>
  <c r="B92" i="6"/>
  <c r="B100" i="6"/>
  <c r="B106" i="6"/>
  <c r="B113" i="6"/>
  <c r="L113" i="6" s="1"/>
  <c r="B121" i="6"/>
  <c r="L121" i="6" s="1"/>
  <c r="B128" i="6"/>
  <c r="B134" i="6"/>
  <c r="B142" i="6"/>
  <c r="B149" i="6"/>
  <c r="L149" i="6" s="1"/>
  <c r="B156" i="6"/>
  <c r="B164" i="6"/>
  <c r="B170" i="6"/>
  <c r="B177" i="6"/>
  <c r="B185" i="6"/>
  <c r="B192" i="6"/>
  <c r="B198" i="6"/>
  <c r="B206" i="6"/>
  <c r="B213" i="6"/>
  <c r="B220" i="6"/>
  <c r="B228" i="6"/>
  <c r="B234" i="6"/>
  <c r="B241" i="6"/>
  <c r="B249" i="6"/>
  <c r="B256" i="6"/>
  <c r="B262" i="6"/>
  <c r="B270" i="6"/>
  <c r="B277" i="6"/>
  <c r="B282" i="6"/>
  <c r="B288" i="6"/>
  <c r="B293" i="6"/>
  <c r="B298" i="6"/>
  <c r="B304" i="6"/>
  <c r="B309" i="6"/>
  <c r="B314" i="6"/>
  <c r="B320" i="6"/>
  <c r="B325" i="6"/>
  <c r="B330" i="6"/>
  <c r="B336" i="6"/>
  <c r="B341" i="6"/>
  <c r="B346" i="6"/>
  <c r="B352" i="6"/>
  <c r="B357" i="6"/>
  <c r="B362" i="6"/>
  <c r="B368" i="6"/>
  <c r="B16" i="6"/>
  <c r="B29" i="6"/>
  <c r="B37" i="6"/>
  <c r="B52" i="6"/>
  <c r="B58" i="6"/>
  <c r="B65" i="6"/>
  <c r="C65" i="6" s="1"/>
  <c r="B73" i="6"/>
  <c r="L73" i="6" s="1"/>
  <c r="B80" i="6"/>
  <c r="B94" i="6"/>
  <c r="B108" i="6"/>
  <c r="B122" i="6"/>
  <c r="B129" i="6"/>
  <c r="L129" i="6" s="1"/>
  <c r="B144" i="6"/>
  <c r="B158" i="6"/>
  <c r="B172" i="6"/>
  <c r="B186" i="6"/>
  <c r="B201" i="6"/>
  <c r="B214" i="6"/>
  <c r="B229" i="6"/>
  <c r="B244" i="6"/>
  <c r="B44" i="6"/>
  <c r="B86" i="6"/>
  <c r="B101" i="6"/>
  <c r="C101" i="6" s="1"/>
  <c r="B116" i="6"/>
  <c r="B137" i="6"/>
  <c r="C137" i="6" s="1"/>
  <c r="B150" i="6"/>
  <c r="B165" i="6"/>
  <c r="B180" i="6"/>
  <c r="B193" i="6"/>
  <c r="B208" i="6"/>
  <c r="B222" i="6"/>
  <c r="B236" i="6"/>
  <c r="B250" i="6"/>
  <c r="B369" i="6"/>
  <c r="B361" i="6"/>
  <c r="B354" i="6"/>
  <c r="B348" i="6"/>
  <c r="B340" i="6"/>
  <c r="B333" i="6"/>
  <c r="B326" i="6"/>
  <c r="B318" i="6"/>
  <c r="B312" i="6"/>
  <c r="B305" i="6"/>
  <c r="B297" i="6"/>
  <c r="B290" i="6"/>
  <c r="B284" i="6"/>
  <c r="B276" i="6"/>
  <c r="B266" i="6"/>
  <c r="B257" i="6"/>
  <c r="B245" i="6"/>
  <c r="B230" i="6"/>
  <c r="B217" i="6"/>
  <c r="B202" i="6"/>
  <c r="B188" i="6"/>
  <c r="B174" i="6"/>
  <c r="B160" i="6"/>
  <c r="B145" i="6"/>
  <c r="L145" i="6" s="1"/>
  <c r="B132" i="6"/>
  <c r="B117" i="6"/>
  <c r="C117" i="6" s="1"/>
  <c r="B102" i="6"/>
  <c r="B89" i="6"/>
  <c r="L89" i="6" s="1"/>
  <c r="B74" i="6"/>
  <c r="B60" i="6"/>
  <c r="B46" i="6"/>
  <c r="B32" i="6"/>
  <c r="B39" i="7"/>
  <c r="L39" i="7" s="1"/>
  <c r="B38" i="7"/>
  <c r="B33" i="7"/>
  <c r="L33" i="7" s="1"/>
  <c r="B28" i="7"/>
  <c r="C28" i="7" s="1"/>
  <c r="G568" i="10" s="1"/>
  <c r="B22" i="7"/>
  <c r="B17" i="7"/>
  <c r="B12" i="7"/>
  <c r="L12" i="7" s="1"/>
  <c r="L369" i="7"/>
  <c r="L365" i="7"/>
  <c r="L361" i="7"/>
  <c r="L357" i="7"/>
  <c r="L353" i="7"/>
  <c r="L349" i="7"/>
  <c r="L345" i="7"/>
  <c r="L341" i="7"/>
  <c r="L337" i="7"/>
  <c r="L333" i="7"/>
  <c r="L329" i="7"/>
  <c r="L325" i="7"/>
  <c r="L321" i="7"/>
  <c r="L317" i="7"/>
  <c r="L313" i="7"/>
  <c r="L309" i="7"/>
  <c r="L305" i="7"/>
  <c r="L301" i="7"/>
  <c r="L297" i="7"/>
  <c r="L293" i="7"/>
  <c r="L289" i="7"/>
  <c r="L285" i="7"/>
  <c r="L281" i="7"/>
  <c r="L277" i="7"/>
  <c r="L273" i="7"/>
  <c r="L269" i="7"/>
  <c r="L265" i="7"/>
  <c r="L261" i="7"/>
  <c r="L257" i="7"/>
  <c r="L253" i="7"/>
  <c r="L249" i="7"/>
  <c r="L245" i="7"/>
  <c r="L241" i="7"/>
  <c r="L237" i="7"/>
  <c r="L233" i="7"/>
  <c r="L229" i="7"/>
  <c r="L225" i="7"/>
  <c r="L221" i="7"/>
  <c r="L217" i="7"/>
  <c r="L213" i="7"/>
  <c r="L209" i="7"/>
  <c r="L205" i="7"/>
  <c r="L201" i="7"/>
  <c r="L197" i="7"/>
  <c r="L193" i="7"/>
  <c r="L189" i="7"/>
  <c r="L185" i="7"/>
  <c r="L181" i="7"/>
  <c r="L177" i="7"/>
  <c r="L173" i="7"/>
  <c r="L169" i="7"/>
  <c r="L165" i="7"/>
  <c r="L161" i="7"/>
  <c r="L157" i="7"/>
  <c r="L153" i="7"/>
  <c r="L149" i="7"/>
  <c r="L145" i="7"/>
  <c r="L141" i="7"/>
  <c r="L137" i="7"/>
  <c r="L133" i="7"/>
  <c r="L129" i="7"/>
  <c r="L125" i="7"/>
  <c r="L121" i="7"/>
  <c r="L117" i="7"/>
  <c r="L113" i="7"/>
  <c r="L109" i="7"/>
  <c r="L105" i="7"/>
  <c r="L101" i="7"/>
  <c r="L97" i="7"/>
  <c r="L93" i="7"/>
  <c r="L89" i="7"/>
  <c r="L85" i="7"/>
  <c r="L81" i="7"/>
  <c r="L77" i="7"/>
  <c r="L73" i="7"/>
  <c r="L69" i="7"/>
  <c r="L65" i="7"/>
  <c r="L61" i="7"/>
  <c r="L57" i="7"/>
  <c r="B18" i="7"/>
  <c r="B25" i="7"/>
  <c r="C25" i="7" s="1"/>
  <c r="G565" i="10" s="1"/>
  <c r="B32" i="7"/>
  <c r="C32" i="7" s="1"/>
  <c r="G572" i="10" s="1"/>
  <c r="B40" i="7"/>
  <c r="F580" i="10" s="1"/>
  <c r="L157" i="6"/>
  <c r="C97" i="6"/>
  <c r="B31" i="6"/>
  <c r="B27" i="6"/>
  <c r="B23" i="6"/>
  <c r="B19" i="6"/>
  <c r="B15" i="6"/>
  <c r="B22" i="6"/>
  <c r="B18" i="6"/>
  <c r="F561" i="10"/>
  <c r="C21" i="7"/>
  <c r="G561" i="10" s="1"/>
  <c r="B15" i="7"/>
  <c r="B19" i="7"/>
  <c r="B23" i="7"/>
  <c r="B27" i="7"/>
  <c r="B31" i="7"/>
  <c r="B35" i="7"/>
  <c r="D72" i="5"/>
  <c r="N301" i="10"/>
  <c r="D9" i="7"/>
  <c r="F46" i="5"/>
  <c r="E44" i="9" s="1"/>
  <c r="AS16" i="9" s="1"/>
  <c r="J23" i="4"/>
  <c r="AB20" i="4" s="1"/>
  <c r="D25" i="4"/>
  <c r="AB16" i="4" s="1"/>
  <c r="H257" i="10"/>
  <c r="D60" i="5"/>
  <c r="H259" i="10"/>
  <c r="D62" i="5"/>
  <c r="H21" i="1"/>
  <c r="H275" i="10"/>
  <c r="D57" i="5"/>
  <c r="D69" i="5"/>
  <c r="K104" i="5" s="1"/>
  <c r="O345" i="10" s="1"/>
  <c r="C50" i="9"/>
  <c r="AQ28" i="9" s="1"/>
  <c r="E36" i="9"/>
  <c r="AI28" i="9" s="1"/>
  <c r="H36" i="9"/>
  <c r="AL28" i="9" s="1"/>
  <c r="G20" i="9"/>
  <c r="AA28" i="9" s="1"/>
  <c r="J20" i="9"/>
  <c r="AD28" i="9" s="1"/>
  <c r="C20" i="9"/>
  <c r="W28" i="9" s="1"/>
  <c r="C112" i="5"/>
  <c r="G354" i="10" s="1"/>
  <c r="I112" i="5"/>
  <c r="M354" i="10" s="1"/>
  <c r="G50" i="9"/>
  <c r="AU28" i="9" s="1"/>
  <c r="H50" i="9"/>
  <c r="AV28" i="9" s="1"/>
  <c r="I50" i="9"/>
  <c r="AW28" i="9" s="1"/>
  <c r="J50" i="9"/>
  <c r="AX28" i="9" s="1"/>
  <c r="G36" i="9"/>
  <c r="AK28" i="9" s="1"/>
  <c r="J36" i="9"/>
  <c r="AN28" i="9" s="1"/>
  <c r="D20" i="9"/>
  <c r="X28" i="9" s="1"/>
  <c r="I20" i="9"/>
  <c r="AC28" i="9" s="1"/>
  <c r="L20" i="9"/>
  <c r="AF28" i="9" s="1"/>
  <c r="F112" i="5"/>
  <c r="J354" i="10" s="1"/>
  <c r="J112" i="5"/>
  <c r="N354" i="10" s="1"/>
  <c r="F50" i="9"/>
  <c r="AT28" i="9" s="1"/>
  <c r="L50" i="9"/>
  <c r="AZ28" i="9" s="1"/>
  <c r="D36" i="9"/>
  <c r="AH28" i="9" s="1"/>
  <c r="I36" i="9"/>
  <c r="AM28" i="9" s="1"/>
  <c r="L36" i="9"/>
  <c r="AP28" i="9" s="1"/>
  <c r="F20" i="9"/>
  <c r="Z28" i="9" s="1"/>
  <c r="K20" i="9"/>
  <c r="AE28" i="9" s="1"/>
  <c r="G112" i="5"/>
  <c r="K354" i="10" s="1"/>
  <c r="K112" i="5"/>
  <c r="O354" i="10" s="1"/>
  <c r="L112" i="5"/>
  <c r="P354" i="10" s="1"/>
  <c r="H20" i="9"/>
  <c r="AB28" i="9" s="1"/>
  <c r="C36" i="9"/>
  <c r="AG28" i="9" s="1"/>
  <c r="F36" i="9"/>
  <c r="AJ28" i="9" s="1"/>
  <c r="H112" i="5"/>
  <c r="L354" i="10" s="1"/>
  <c r="E112" i="5"/>
  <c r="I354" i="10" s="1"/>
  <c r="D112" i="5"/>
  <c r="H354" i="10" s="1"/>
  <c r="E20" i="9"/>
  <c r="Y28" i="9" s="1"/>
  <c r="K36" i="9"/>
  <c r="AO28" i="9" s="1"/>
  <c r="K50" i="9"/>
  <c r="AY28" i="9" s="1"/>
  <c r="D50" i="9"/>
  <c r="AR28" i="9" s="1"/>
  <c r="E50" i="9"/>
  <c r="AS28" i="9" s="1"/>
  <c r="C254" i="6" l="1"/>
  <c r="C181" i="6"/>
  <c r="L337" i="6"/>
  <c r="D80" i="5"/>
  <c r="F16" i="11" s="1"/>
  <c r="L81" i="6"/>
  <c r="F191" i="5"/>
  <c r="I649" i="10"/>
  <c r="E189" i="5"/>
  <c r="H647" i="10"/>
  <c r="E183" i="5"/>
  <c r="H641" i="10"/>
  <c r="F187" i="5"/>
  <c r="I645" i="10"/>
  <c r="E179" i="5"/>
  <c r="H637" i="10"/>
  <c r="F192" i="5"/>
  <c r="I650" i="10"/>
  <c r="E184" i="5"/>
  <c r="H642" i="10"/>
  <c r="E182" i="5"/>
  <c r="H640" i="10"/>
  <c r="E185" i="5"/>
  <c r="H643" i="10"/>
  <c r="E190" i="5"/>
  <c r="H648" i="10"/>
  <c r="E193" i="5"/>
  <c r="H651" i="10"/>
  <c r="F181" i="5"/>
  <c r="I639" i="10"/>
  <c r="F194" i="5"/>
  <c r="I652" i="10"/>
  <c r="F180" i="5"/>
  <c r="I638" i="10"/>
  <c r="F186" i="5"/>
  <c r="I644" i="10"/>
  <c r="E188" i="5"/>
  <c r="H646" i="10"/>
  <c r="I616" i="10"/>
  <c r="I625" i="10"/>
  <c r="I626" i="10"/>
  <c r="I623" i="10"/>
  <c r="I621" i="10"/>
  <c r="I627" i="10"/>
  <c r="I624" i="10"/>
  <c r="I617" i="10"/>
  <c r="I618" i="10"/>
  <c r="I619" i="10"/>
  <c r="I620" i="10"/>
  <c r="I628" i="10"/>
  <c r="I614" i="10"/>
  <c r="I615" i="10"/>
  <c r="I622" i="10"/>
  <c r="H277" i="10"/>
  <c r="P242" i="10" s="1"/>
  <c r="J29" i="9"/>
  <c r="AN16" i="9" s="1"/>
  <c r="C12" i="9"/>
  <c r="W16" i="9" s="1"/>
  <c r="L12" i="9"/>
  <c r="AF16" i="9" s="1"/>
  <c r="C37" i="7"/>
  <c r="G577" i="10" s="1"/>
  <c r="F554" i="10"/>
  <c r="C84" i="6"/>
  <c r="F577" i="10"/>
  <c r="C12" i="6"/>
  <c r="C261" i="6"/>
  <c r="L20" i="7"/>
  <c r="L370" i="6"/>
  <c r="C212" i="6"/>
  <c r="C96" i="6"/>
  <c r="C353" i="6"/>
  <c r="C365" i="6"/>
  <c r="J12" i="9"/>
  <c r="AD16" i="9" s="1"/>
  <c r="D29" i="9"/>
  <c r="AH16" i="9" s="1"/>
  <c r="I12" i="9"/>
  <c r="AC16" i="9" s="1"/>
  <c r="D44" i="9"/>
  <c r="AR16" i="9" s="1"/>
  <c r="H44" i="9"/>
  <c r="AV16" i="9" s="1"/>
  <c r="H29" i="9"/>
  <c r="AL16" i="9" s="1"/>
  <c r="E29" i="9"/>
  <c r="AI16" i="9" s="1"/>
  <c r="I44" i="9"/>
  <c r="AW16" i="9" s="1"/>
  <c r="F29" i="9"/>
  <c r="AJ16" i="9" s="1"/>
  <c r="K29" i="9"/>
  <c r="AO16" i="9" s="1"/>
  <c r="H12" i="9"/>
  <c r="AB16" i="9" s="1"/>
  <c r="F557" i="10"/>
  <c r="C113" i="6"/>
  <c r="C324" i="6"/>
  <c r="C124" i="6"/>
  <c r="L133" i="6"/>
  <c r="C310" i="6"/>
  <c r="C166" i="6"/>
  <c r="L40" i="7"/>
  <c r="L153" i="6"/>
  <c r="C286" i="6"/>
  <c r="C240" i="6"/>
  <c r="C332" i="6"/>
  <c r="L138" i="6"/>
  <c r="C126" i="6"/>
  <c r="C209" i="6"/>
  <c r="C278" i="6"/>
  <c r="L36" i="7"/>
  <c r="L65" i="6"/>
  <c r="L109" i="6"/>
  <c r="C356" i="6"/>
  <c r="C292" i="6"/>
  <c r="C182" i="6"/>
  <c r="K44" i="9"/>
  <c r="AY16" i="9" s="1"/>
  <c r="K12" i="9"/>
  <c r="AE16" i="9" s="1"/>
  <c r="C44" i="9"/>
  <c r="AQ16" i="9" s="1"/>
  <c r="G12" i="9"/>
  <c r="AA16" i="9" s="1"/>
  <c r="L29" i="9"/>
  <c r="AP16" i="9" s="1"/>
  <c r="L44" i="9"/>
  <c r="AZ16" i="9" s="1"/>
  <c r="C29" i="9"/>
  <c r="AG16" i="9" s="1"/>
  <c r="F44" i="9"/>
  <c r="AT16" i="9" s="1"/>
  <c r="G44" i="9"/>
  <c r="AU16" i="9" s="1"/>
  <c r="F12" i="9"/>
  <c r="Z16" i="9" s="1"/>
  <c r="G29" i="9"/>
  <c r="AK16" i="9" s="1"/>
  <c r="J44" i="9"/>
  <c r="AX16" i="9" s="1"/>
  <c r="D12" i="9"/>
  <c r="X16" i="9" s="1"/>
  <c r="E12" i="9"/>
  <c r="Y16" i="9" s="1"/>
  <c r="I29" i="9"/>
  <c r="AM16" i="9" s="1"/>
  <c r="C42" i="7"/>
  <c r="G582" i="10" s="1"/>
  <c r="C329" i="6"/>
  <c r="C334" i="6"/>
  <c r="L69" i="6"/>
  <c r="F569" i="10"/>
  <c r="L117" i="6"/>
  <c r="F556" i="10"/>
  <c r="L68" i="6"/>
  <c r="C366" i="6"/>
  <c r="C233" i="6"/>
  <c r="C313" i="6"/>
  <c r="C328" i="6"/>
  <c r="C41" i="7"/>
  <c r="G581" i="10" s="1"/>
  <c r="F560" i="10"/>
  <c r="F564" i="10"/>
  <c r="C73" i="6"/>
  <c r="C148" i="6"/>
  <c r="C110" i="6"/>
  <c r="C225" i="6"/>
  <c r="C21" i="6"/>
  <c r="L33" i="6"/>
  <c r="L14" i="7"/>
  <c r="C345" i="6"/>
  <c r="L350" i="6"/>
  <c r="C224" i="6"/>
  <c r="L41" i="7"/>
  <c r="F572" i="10"/>
  <c r="C39" i="7"/>
  <c r="G579" i="10" s="1"/>
  <c r="L101" i="6"/>
  <c r="L125" i="6"/>
  <c r="C190" i="6"/>
  <c r="C272" i="6"/>
  <c r="C273" i="6"/>
  <c r="F576" i="10"/>
  <c r="C13" i="7"/>
  <c r="G553" i="10" s="1"/>
  <c r="C89" i="6"/>
  <c r="C238" i="6"/>
  <c r="C301" i="6"/>
  <c r="L25" i="7"/>
  <c r="F553" i="10"/>
  <c r="C302" i="6"/>
  <c r="C154" i="6"/>
  <c r="L137" i="6"/>
  <c r="C145" i="6"/>
  <c r="F568" i="10"/>
  <c r="C24" i="7"/>
  <c r="G564" i="10" s="1"/>
  <c r="L93" i="6"/>
  <c r="C129" i="6"/>
  <c r="C260" i="6"/>
  <c r="C289" i="6"/>
  <c r="C344" i="6"/>
  <c r="C30" i="7"/>
  <c r="G570" i="10" s="1"/>
  <c r="L364" i="6"/>
  <c r="C364" i="6"/>
  <c r="C105" i="6"/>
  <c r="C265" i="6"/>
  <c r="L252" i="6"/>
  <c r="C252" i="6"/>
  <c r="L38" i="6"/>
  <c r="C38" i="6"/>
  <c r="L204" i="6"/>
  <c r="C204" i="6"/>
  <c r="L317" i="6"/>
  <c r="C317" i="6"/>
  <c r="C141" i="6"/>
  <c r="C149" i="6"/>
  <c r="C358" i="6"/>
  <c r="C24" i="6"/>
  <c r="C140" i="6"/>
  <c r="F573" i="10"/>
  <c r="F565" i="10"/>
  <c r="C77" i="6"/>
  <c r="L85" i="6"/>
  <c r="C121" i="6"/>
  <c r="F574" i="10"/>
  <c r="C281" i="6"/>
  <c r="C308" i="6"/>
  <c r="C342" i="6"/>
  <c r="C197" i="6"/>
  <c r="F566" i="10"/>
  <c r="C26" i="7"/>
  <c r="G566" i="10" s="1"/>
  <c r="L26" i="7"/>
  <c r="L294" i="6"/>
  <c r="C294" i="6"/>
  <c r="L338" i="6"/>
  <c r="C338" i="6"/>
  <c r="L285" i="6"/>
  <c r="C285" i="6"/>
  <c r="L360" i="6"/>
  <c r="C360" i="6"/>
  <c r="L300" i="6"/>
  <c r="C300" i="6"/>
  <c r="L321" i="6"/>
  <c r="C321" i="6"/>
  <c r="L322" i="6"/>
  <c r="C322" i="6"/>
  <c r="L280" i="6"/>
  <c r="C280" i="6"/>
  <c r="L218" i="6"/>
  <c r="C218" i="6"/>
  <c r="L34" i="7"/>
  <c r="C169" i="6"/>
  <c r="L268" i="6"/>
  <c r="C268" i="6"/>
  <c r="L28" i="7"/>
  <c r="L16" i="7"/>
  <c r="C29" i="7"/>
  <c r="G569" i="10" s="1"/>
  <c r="C196" i="6"/>
  <c r="C112" i="6"/>
  <c r="L246" i="6"/>
  <c r="C246" i="6"/>
  <c r="L306" i="6"/>
  <c r="C306" i="6"/>
  <c r="L349" i="6"/>
  <c r="C349" i="6"/>
  <c r="L176" i="6"/>
  <c r="C176" i="6"/>
  <c r="L296" i="6"/>
  <c r="C296" i="6"/>
  <c r="L161" i="6"/>
  <c r="C161" i="6"/>
  <c r="L54" i="6"/>
  <c r="C54" i="6"/>
  <c r="L53" i="6"/>
  <c r="C53" i="6"/>
  <c r="C40" i="7"/>
  <c r="G580" i="10" s="1"/>
  <c r="F558" i="10"/>
  <c r="C18" i="7"/>
  <c r="G558" i="10" s="1"/>
  <c r="L18" i="7"/>
  <c r="I12" i="7"/>
  <c r="M552" i="10" s="1"/>
  <c r="H12" i="7"/>
  <c r="L552" i="10" s="1"/>
  <c r="L60" i="6"/>
  <c r="C60" i="6"/>
  <c r="L174" i="6"/>
  <c r="C174" i="6"/>
  <c r="L230" i="6"/>
  <c r="C230" i="6"/>
  <c r="L276" i="6"/>
  <c r="C276" i="6"/>
  <c r="L305" i="6"/>
  <c r="C305" i="6"/>
  <c r="L333" i="6"/>
  <c r="C333" i="6"/>
  <c r="L361" i="6"/>
  <c r="C361" i="6"/>
  <c r="L236" i="6"/>
  <c r="C236" i="6"/>
  <c r="L180" i="6"/>
  <c r="C180" i="6"/>
  <c r="L116" i="6"/>
  <c r="C116" i="6"/>
  <c r="L244" i="6"/>
  <c r="C244" i="6"/>
  <c r="L186" i="6"/>
  <c r="C186" i="6"/>
  <c r="L80" i="6"/>
  <c r="C80" i="6"/>
  <c r="L52" i="6"/>
  <c r="C52" i="6"/>
  <c r="L368" i="6"/>
  <c r="C368" i="6"/>
  <c r="L346" i="6"/>
  <c r="C346" i="6"/>
  <c r="L325" i="6"/>
  <c r="C325" i="6"/>
  <c r="L304" i="6"/>
  <c r="C304" i="6"/>
  <c r="L282" i="6"/>
  <c r="C282" i="6"/>
  <c r="L256" i="6"/>
  <c r="C256" i="6"/>
  <c r="L228" i="6"/>
  <c r="C228" i="6"/>
  <c r="L198" i="6"/>
  <c r="C198" i="6"/>
  <c r="L170" i="6"/>
  <c r="C170" i="6"/>
  <c r="L142" i="6"/>
  <c r="C142" i="6"/>
  <c r="L57" i="6"/>
  <c r="C57" i="6"/>
  <c r="L26" i="6"/>
  <c r="C26" i="6"/>
  <c r="L363" i="6"/>
  <c r="C363" i="6"/>
  <c r="L347" i="6"/>
  <c r="C347" i="6"/>
  <c r="L331" i="6"/>
  <c r="C331" i="6"/>
  <c r="L315" i="6"/>
  <c r="C315" i="6"/>
  <c r="L299" i="6"/>
  <c r="C299" i="6"/>
  <c r="L283" i="6"/>
  <c r="C283" i="6"/>
  <c r="L264" i="6"/>
  <c r="C264" i="6"/>
  <c r="L242" i="6"/>
  <c r="C242" i="6"/>
  <c r="L221" i="6"/>
  <c r="C221" i="6"/>
  <c r="L200" i="6"/>
  <c r="C200" i="6"/>
  <c r="L178" i="6"/>
  <c r="C178" i="6"/>
  <c r="L136" i="6"/>
  <c r="C136" i="6"/>
  <c r="L114" i="6"/>
  <c r="C114" i="6"/>
  <c r="L72" i="6"/>
  <c r="C72" i="6"/>
  <c r="L50" i="6"/>
  <c r="C50" i="6"/>
  <c r="L28" i="6"/>
  <c r="C28" i="6"/>
  <c r="L267" i="6"/>
  <c r="C267" i="6"/>
  <c r="C251" i="6"/>
  <c r="L235" i="6"/>
  <c r="C235" i="6"/>
  <c r="L219" i="6"/>
  <c r="C219" i="6"/>
  <c r="L203" i="6"/>
  <c r="C203" i="6"/>
  <c r="L187" i="6"/>
  <c r="C187" i="6"/>
  <c r="L171" i="6"/>
  <c r="C171" i="6"/>
  <c r="L155" i="6"/>
  <c r="C155" i="6"/>
  <c r="L139" i="6"/>
  <c r="C139" i="6"/>
  <c r="L123" i="6"/>
  <c r="C123" i="6"/>
  <c r="L107" i="6"/>
  <c r="C107" i="6"/>
  <c r="L91" i="6"/>
  <c r="C91" i="6"/>
  <c r="L75" i="6"/>
  <c r="C75" i="6"/>
  <c r="L59" i="6"/>
  <c r="C59" i="6"/>
  <c r="L43" i="6"/>
  <c r="C43" i="6"/>
  <c r="L25" i="6"/>
  <c r="C25" i="6"/>
  <c r="L62" i="6"/>
  <c r="C62" i="6"/>
  <c r="L118" i="6"/>
  <c r="C118" i="6"/>
  <c r="F578" i="10"/>
  <c r="C38" i="7"/>
  <c r="G578" i="10" s="1"/>
  <c r="L38" i="7"/>
  <c r="C74" i="6"/>
  <c r="L74" i="6"/>
  <c r="L132" i="6"/>
  <c r="C132" i="6"/>
  <c r="L188" i="6"/>
  <c r="C188" i="6"/>
  <c r="L245" i="6"/>
  <c r="C245" i="6"/>
  <c r="L284" i="6"/>
  <c r="C284" i="6"/>
  <c r="L312" i="6"/>
  <c r="C312" i="6"/>
  <c r="L340" i="6"/>
  <c r="C340" i="6"/>
  <c r="L369" i="6"/>
  <c r="C369" i="6"/>
  <c r="L222" i="6"/>
  <c r="C222" i="6"/>
  <c r="L165" i="6"/>
  <c r="C165" i="6"/>
  <c r="L229" i="6"/>
  <c r="C229" i="6"/>
  <c r="L172" i="6"/>
  <c r="C172" i="6"/>
  <c r="L122" i="6"/>
  <c r="C122" i="6"/>
  <c r="L37" i="6"/>
  <c r="C37" i="6"/>
  <c r="L362" i="6"/>
  <c r="C362" i="6"/>
  <c r="L341" i="6"/>
  <c r="C341" i="6"/>
  <c r="L320" i="6"/>
  <c r="C320" i="6"/>
  <c r="L298" i="6"/>
  <c r="C298" i="6"/>
  <c r="L277" i="6"/>
  <c r="C277" i="6"/>
  <c r="L249" i="6"/>
  <c r="C249" i="6"/>
  <c r="L220" i="6"/>
  <c r="C220" i="6"/>
  <c r="L192" i="6"/>
  <c r="C192" i="6"/>
  <c r="L164" i="6"/>
  <c r="C164" i="6"/>
  <c r="L134" i="6"/>
  <c r="C134" i="6"/>
  <c r="L106" i="6"/>
  <c r="C106" i="6"/>
  <c r="L78" i="6"/>
  <c r="C78" i="6"/>
  <c r="L49" i="6"/>
  <c r="C49" i="6"/>
  <c r="L13" i="6"/>
  <c r="C13" i="6"/>
  <c r="L359" i="6"/>
  <c r="C359" i="6"/>
  <c r="L343" i="6"/>
  <c r="C343" i="6"/>
  <c r="L327" i="6"/>
  <c r="C327" i="6"/>
  <c r="L311" i="6"/>
  <c r="C311" i="6"/>
  <c r="L295" i="6"/>
  <c r="C295" i="6"/>
  <c r="L279" i="6"/>
  <c r="C279" i="6"/>
  <c r="L258" i="6"/>
  <c r="C258" i="6"/>
  <c r="L237" i="6"/>
  <c r="C237" i="6"/>
  <c r="L216" i="6"/>
  <c r="C216" i="6"/>
  <c r="L194" i="6"/>
  <c r="C194" i="6"/>
  <c r="L173" i="6"/>
  <c r="C173" i="6"/>
  <c r="L152" i="6"/>
  <c r="C152" i="6"/>
  <c r="C130" i="6"/>
  <c r="L130" i="6"/>
  <c r="L88" i="6"/>
  <c r="C88" i="6"/>
  <c r="L66" i="6"/>
  <c r="C66" i="6"/>
  <c r="L45" i="6"/>
  <c r="C45" i="6"/>
  <c r="L20" i="6"/>
  <c r="C20" i="6"/>
  <c r="L263" i="6"/>
  <c r="C263" i="6"/>
  <c r="L247" i="6"/>
  <c r="C247" i="6"/>
  <c r="L231" i="6"/>
  <c r="C231" i="6"/>
  <c r="L215" i="6"/>
  <c r="C215" i="6"/>
  <c r="L199" i="6"/>
  <c r="C199" i="6"/>
  <c r="L183" i="6"/>
  <c r="C183" i="6"/>
  <c r="L167" i="6"/>
  <c r="C167" i="6"/>
  <c r="L151" i="6"/>
  <c r="C151" i="6"/>
  <c r="L135" i="6"/>
  <c r="C135" i="6"/>
  <c r="L119" i="6"/>
  <c r="C119" i="6"/>
  <c r="L103" i="6"/>
  <c r="C103" i="6"/>
  <c r="L87" i="6"/>
  <c r="C87" i="6"/>
  <c r="C71" i="6"/>
  <c r="L55" i="6"/>
  <c r="C55" i="6"/>
  <c r="L39" i="6"/>
  <c r="C39" i="6"/>
  <c r="L17" i="6"/>
  <c r="C17" i="6"/>
  <c r="L76" i="6"/>
  <c r="C76" i="6"/>
  <c r="C12" i="7"/>
  <c r="F562" i="10"/>
  <c r="C22" i="7"/>
  <c r="G562" i="10" s="1"/>
  <c r="L22" i="7"/>
  <c r="L32" i="6"/>
  <c r="C32" i="6"/>
  <c r="C202" i="6"/>
  <c r="L202" i="6"/>
  <c r="L257" i="6"/>
  <c r="C257" i="6"/>
  <c r="L290" i="6"/>
  <c r="C290" i="6"/>
  <c r="L318" i="6"/>
  <c r="C318" i="6"/>
  <c r="L348" i="6"/>
  <c r="C348" i="6"/>
  <c r="L208" i="6"/>
  <c r="C208" i="6"/>
  <c r="L150" i="6"/>
  <c r="C150" i="6"/>
  <c r="L86" i="6"/>
  <c r="C86" i="6"/>
  <c r="L214" i="6"/>
  <c r="C214" i="6"/>
  <c r="L158" i="6"/>
  <c r="C158" i="6"/>
  <c r="L108" i="6"/>
  <c r="C108" i="6"/>
  <c r="L29" i="6"/>
  <c r="C29" i="6"/>
  <c r="L357" i="6"/>
  <c r="C357" i="6"/>
  <c r="L336" i="6"/>
  <c r="C336" i="6"/>
  <c r="L314" i="6"/>
  <c r="C314" i="6"/>
  <c r="L293" i="6"/>
  <c r="C293" i="6"/>
  <c r="L270" i="6"/>
  <c r="C270" i="6"/>
  <c r="L241" i="6"/>
  <c r="C241" i="6"/>
  <c r="L213" i="6"/>
  <c r="C213" i="6"/>
  <c r="L185" i="6"/>
  <c r="C185" i="6"/>
  <c r="L156" i="6"/>
  <c r="C156" i="6"/>
  <c r="L128" i="6"/>
  <c r="C128" i="6"/>
  <c r="L100" i="6"/>
  <c r="C100" i="6"/>
  <c r="L70" i="6"/>
  <c r="C70" i="6"/>
  <c r="L42" i="6"/>
  <c r="C42" i="6"/>
  <c r="L355" i="6"/>
  <c r="C355" i="6"/>
  <c r="L339" i="6"/>
  <c r="C339" i="6"/>
  <c r="L323" i="6"/>
  <c r="C323" i="6"/>
  <c r="L307" i="6"/>
  <c r="C307" i="6"/>
  <c r="L291" i="6"/>
  <c r="C291" i="6"/>
  <c r="L274" i="6"/>
  <c r="C274" i="6"/>
  <c r="L253" i="6"/>
  <c r="C253" i="6"/>
  <c r="L232" i="6"/>
  <c r="C232" i="6"/>
  <c r="L210" i="6"/>
  <c r="C210" i="6"/>
  <c r="L189" i="6"/>
  <c r="C189" i="6"/>
  <c r="L168" i="6"/>
  <c r="C168" i="6"/>
  <c r="C146" i="6"/>
  <c r="L146" i="6"/>
  <c r="L104" i="6"/>
  <c r="C104" i="6"/>
  <c r="L82" i="6"/>
  <c r="C82" i="6"/>
  <c r="L61" i="6"/>
  <c r="C61" i="6"/>
  <c r="L40" i="6"/>
  <c r="C40" i="6"/>
  <c r="L275" i="6"/>
  <c r="C275" i="6"/>
  <c r="L259" i="6"/>
  <c r="C259" i="6"/>
  <c r="L243" i="6"/>
  <c r="C243" i="6"/>
  <c r="L227" i="6"/>
  <c r="C227" i="6"/>
  <c r="L211" i="6"/>
  <c r="C211" i="6"/>
  <c r="L195" i="6"/>
  <c r="C195" i="6"/>
  <c r="L179" i="6"/>
  <c r="C179" i="6"/>
  <c r="L163" i="6"/>
  <c r="C163" i="6"/>
  <c r="L147" i="6"/>
  <c r="C147" i="6"/>
  <c r="L131" i="6"/>
  <c r="C131" i="6"/>
  <c r="L115" i="6"/>
  <c r="C115" i="6"/>
  <c r="L99" i="6"/>
  <c r="C99" i="6"/>
  <c r="L83" i="6"/>
  <c r="C83" i="6"/>
  <c r="L67" i="6"/>
  <c r="C67" i="6"/>
  <c r="L51" i="6"/>
  <c r="C51" i="6"/>
  <c r="L35" i="6"/>
  <c r="C35" i="6"/>
  <c r="L14" i="6"/>
  <c r="C14" i="6"/>
  <c r="L90" i="6"/>
  <c r="C90" i="6"/>
  <c r="C33" i="7"/>
  <c r="G573" i="10" s="1"/>
  <c r="C17" i="7"/>
  <c r="G557" i="10" s="1"/>
  <c r="F552" i="10"/>
  <c r="F579" i="10"/>
  <c r="L46" i="6"/>
  <c r="C46" i="6"/>
  <c r="L102" i="6"/>
  <c r="C102" i="6"/>
  <c r="L160" i="6"/>
  <c r="C160" i="6"/>
  <c r="L217" i="6"/>
  <c r="C217" i="6"/>
  <c r="L266" i="6"/>
  <c r="C266" i="6"/>
  <c r="L297" i="6"/>
  <c r="C297" i="6"/>
  <c r="L326" i="6"/>
  <c r="C326" i="6"/>
  <c r="L354" i="6"/>
  <c r="C354" i="6"/>
  <c r="L250" i="6"/>
  <c r="C250" i="6"/>
  <c r="L193" i="6"/>
  <c r="C193" i="6"/>
  <c r="L44" i="6"/>
  <c r="C44" i="6"/>
  <c r="L201" i="6"/>
  <c r="C201" i="6"/>
  <c r="L144" i="6"/>
  <c r="C144" i="6"/>
  <c r="L94" i="6"/>
  <c r="C94" i="6"/>
  <c r="L58" i="6"/>
  <c r="C58" i="6"/>
  <c r="L16" i="6"/>
  <c r="C16" i="6"/>
  <c r="L352" i="6"/>
  <c r="C352" i="6"/>
  <c r="L330" i="6"/>
  <c r="C330" i="6"/>
  <c r="L309" i="6"/>
  <c r="C309" i="6"/>
  <c r="L288" i="6"/>
  <c r="C288" i="6"/>
  <c r="L262" i="6"/>
  <c r="C262" i="6"/>
  <c r="L234" i="6"/>
  <c r="C234" i="6"/>
  <c r="L206" i="6"/>
  <c r="C206" i="6"/>
  <c r="L177" i="6"/>
  <c r="C177" i="6"/>
  <c r="L92" i="6"/>
  <c r="C92" i="6"/>
  <c r="L64" i="6"/>
  <c r="C64" i="6"/>
  <c r="L36" i="6"/>
  <c r="C36" i="6"/>
  <c r="L367" i="6"/>
  <c r="C367" i="6"/>
  <c r="L351" i="6"/>
  <c r="C351" i="6"/>
  <c r="L335" i="6"/>
  <c r="C335" i="6"/>
  <c r="L319" i="6"/>
  <c r="C319" i="6"/>
  <c r="L303" i="6"/>
  <c r="C303" i="6"/>
  <c r="L287" i="6"/>
  <c r="C287" i="6"/>
  <c r="L269" i="6"/>
  <c r="C269" i="6"/>
  <c r="L248" i="6"/>
  <c r="C248" i="6"/>
  <c r="L226" i="6"/>
  <c r="C226" i="6"/>
  <c r="L205" i="6"/>
  <c r="C205" i="6"/>
  <c r="L184" i="6"/>
  <c r="C184" i="6"/>
  <c r="L162" i="6"/>
  <c r="C162" i="6"/>
  <c r="L120" i="6"/>
  <c r="C120" i="6"/>
  <c r="L98" i="6"/>
  <c r="C98" i="6"/>
  <c r="L56" i="6"/>
  <c r="C56" i="6"/>
  <c r="C34" i="6"/>
  <c r="L34" i="6"/>
  <c r="L271" i="6"/>
  <c r="C271" i="6"/>
  <c r="L255" i="6"/>
  <c r="C255" i="6"/>
  <c r="L239" i="6"/>
  <c r="C239" i="6"/>
  <c r="L223" i="6"/>
  <c r="C223" i="6"/>
  <c r="L207" i="6"/>
  <c r="C207" i="6"/>
  <c r="L175" i="6"/>
  <c r="C175" i="6"/>
  <c r="L159" i="6"/>
  <c r="C159" i="6"/>
  <c r="L143" i="6"/>
  <c r="C143" i="6"/>
  <c r="L127" i="6"/>
  <c r="C127" i="6"/>
  <c r="L111" i="6"/>
  <c r="C111" i="6"/>
  <c r="L95" i="6"/>
  <c r="C95" i="6"/>
  <c r="L79" i="6"/>
  <c r="C79" i="6"/>
  <c r="L63" i="6"/>
  <c r="C63" i="6"/>
  <c r="L47" i="6"/>
  <c r="C47" i="6"/>
  <c r="L30" i="6"/>
  <c r="C30" i="6"/>
  <c r="L48" i="6"/>
  <c r="C48" i="6"/>
  <c r="F571" i="10"/>
  <c r="C31" i="7"/>
  <c r="G571" i="10" s="1"/>
  <c r="L31" i="7"/>
  <c r="L23" i="6"/>
  <c r="C23" i="6"/>
  <c r="L27" i="6"/>
  <c r="C27" i="6"/>
  <c r="L15" i="6"/>
  <c r="C15" i="6"/>
  <c r="L31" i="6"/>
  <c r="C31" i="6"/>
  <c r="F555" i="10"/>
  <c r="C15" i="7"/>
  <c r="G555" i="10" s="1"/>
  <c r="L15" i="7"/>
  <c r="L18" i="6"/>
  <c r="C18" i="6"/>
  <c r="F567" i="10"/>
  <c r="C27" i="7"/>
  <c r="G567" i="10" s="1"/>
  <c r="L22" i="6"/>
  <c r="C22" i="6"/>
  <c r="F563" i="10"/>
  <c r="C23" i="7"/>
  <c r="G563" i="10" s="1"/>
  <c r="L23" i="7"/>
  <c r="F575" i="10"/>
  <c r="C35" i="7"/>
  <c r="G575" i="10" s="1"/>
  <c r="L35" i="7"/>
  <c r="F559" i="10"/>
  <c r="C19" i="7"/>
  <c r="G559" i="10" s="1"/>
  <c r="L19" i="7"/>
  <c r="L19" i="6"/>
  <c r="C19" i="6"/>
  <c r="H270" i="10"/>
  <c r="H271" i="10" s="1"/>
  <c r="D73" i="5"/>
  <c r="D74" i="5" s="1"/>
  <c r="H15" i="9" s="1"/>
  <c r="D12" i="7"/>
  <c r="E12" i="7"/>
  <c r="H104" i="5"/>
  <c r="L345" i="10" s="1"/>
  <c r="H258" i="10"/>
  <c r="I298" i="10" s="1"/>
  <c r="D61" i="5"/>
  <c r="G104" i="5"/>
  <c r="K345" i="10" s="1"/>
  <c r="D104" i="5"/>
  <c r="H345" i="10" s="1"/>
  <c r="C104" i="5"/>
  <c r="G345" i="10" s="1"/>
  <c r="L104" i="5"/>
  <c r="P345" i="10" s="1"/>
  <c r="E104" i="5"/>
  <c r="I345" i="10" s="1"/>
  <c r="F104" i="5"/>
  <c r="J345" i="10" s="1"/>
  <c r="J91" i="5"/>
  <c r="J104" i="5"/>
  <c r="N345" i="10" s="1"/>
  <c r="D78" i="5"/>
  <c r="I104" i="5"/>
  <c r="M345" i="10" s="1"/>
  <c r="D9" i="9"/>
  <c r="L49" i="5" l="1"/>
  <c r="K31" i="11"/>
  <c r="L11" i="11"/>
  <c r="L12" i="11"/>
  <c r="L13" i="11"/>
  <c r="L14" i="11"/>
  <c r="G180" i="5"/>
  <c r="J638" i="10"/>
  <c r="F188" i="5"/>
  <c r="I646" i="10"/>
  <c r="F193" i="5"/>
  <c r="I651" i="10"/>
  <c r="F185" i="5"/>
  <c r="I643" i="10"/>
  <c r="F184" i="5"/>
  <c r="I642" i="10"/>
  <c r="F179" i="5"/>
  <c r="I637" i="10"/>
  <c r="F189" i="5"/>
  <c r="I647" i="10"/>
  <c r="G186" i="5"/>
  <c r="J644" i="10"/>
  <c r="G194" i="5"/>
  <c r="J652" i="10"/>
  <c r="G181" i="5"/>
  <c r="J639" i="10"/>
  <c r="F190" i="5"/>
  <c r="I648" i="10"/>
  <c r="F182" i="5"/>
  <c r="I640" i="10"/>
  <c r="G192" i="5"/>
  <c r="J650" i="10"/>
  <c r="G187" i="5"/>
  <c r="J645" i="10"/>
  <c r="F183" i="5"/>
  <c r="I641" i="10"/>
  <c r="G191" i="5"/>
  <c r="J649" i="10"/>
  <c r="J617" i="10"/>
  <c r="J626" i="10"/>
  <c r="J622" i="10"/>
  <c r="J628" i="10"/>
  <c r="J618" i="10"/>
  <c r="J615" i="10"/>
  <c r="J627" i="10"/>
  <c r="J625" i="10"/>
  <c r="J614" i="10"/>
  <c r="J619" i="10"/>
  <c r="J624" i="10"/>
  <c r="J623" i="10"/>
  <c r="J616" i="10"/>
  <c r="J15" i="9"/>
  <c r="C107" i="5"/>
  <c r="G348" i="10" s="1"/>
  <c r="F32" i="9"/>
  <c r="L46" i="9"/>
  <c r="C46" i="9"/>
  <c r="H107" i="5"/>
  <c r="L348" i="10" s="1"/>
  <c r="E32" i="9"/>
  <c r="J107" i="5"/>
  <c r="N348" i="10" s="1"/>
  <c r="G107" i="5"/>
  <c r="K348" i="10" s="1"/>
  <c r="E46" i="9"/>
  <c r="L15" i="9"/>
  <c r="H46" i="9"/>
  <c r="I15" i="9"/>
  <c r="F15" i="9"/>
  <c r="G552" i="10"/>
  <c r="L32" i="9"/>
  <c r="G15" i="9"/>
  <c r="I46" i="9"/>
  <c r="I32" i="9"/>
  <c r="F107" i="5"/>
  <c r="J348" i="10" s="1"/>
  <c r="D15" i="9"/>
  <c r="K32" i="9"/>
  <c r="K15" i="9"/>
  <c r="L107" i="5"/>
  <c r="P348" i="10" s="1"/>
  <c r="D46" i="9"/>
  <c r="D32" i="9"/>
  <c r="J46" i="9"/>
  <c r="I49" i="5"/>
  <c r="G46" i="9"/>
  <c r="K107" i="5"/>
  <c r="O348" i="10" s="1"/>
  <c r="J32" i="9"/>
  <c r="C32" i="9"/>
  <c r="G32" i="9"/>
  <c r="D107" i="5"/>
  <c r="H348" i="10" s="1"/>
  <c r="H32" i="9"/>
  <c r="F46" i="9"/>
  <c r="C15" i="9"/>
  <c r="I107" i="5"/>
  <c r="M348" i="10" s="1"/>
  <c r="E107" i="5"/>
  <c r="I348" i="10" s="1"/>
  <c r="E15" i="9"/>
  <c r="K46" i="9"/>
  <c r="M242" i="10"/>
  <c r="I552" i="10"/>
  <c r="J12" i="7"/>
  <c r="N552" i="10" s="1"/>
  <c r="H552" i="10"/>
  <c r="K12" i="7"/>
  <c r="O552" i="10" s="1"/>
  <c r="D9" i="6"/>
  <c r="F88" i="5"/>
  <c r="D71" i="5"/>
  <c r="H268" i="10"/>
  <c r="F281" i="10" s="1"/>
  <c r="F49" i="5" l="1"/>
  <c r="F91" i="5"/>
  <c r="L31" i="11"/>
  <c r="H191" i="5"/>
  <c r="K649" i="10"/>
  <c r="H187" i="5"/>
  <c r="K645" i="10"/>
  <c r="G182" i="5"/>
  <c r="J640" i="10"/>
  <c r="H181" i="5"/>
  <c r="K639" i="10"/>
  <c r="H186" i="5"/>
  <c r="K644" i="10"/>
  <c r="G179" i="5"/>
  <c r="J637" i="10"/>
  <c r="G185" i="5"/>
  <c r="J643" i="10"/>
  <c r="G183" i="5"/>
  <c r="J641" i="10"/>
  <c r="H192" i="5"/>
  <c r="K650" i="10"/>
  <c r="G190" i="5"/>
  <c r="J648" i="10"/>
  <c r="H194" i="5"/>
  <c r="K652" i="10"/>
  <c r="G189" i="5"/>
  <c r="J647" i="10"/>
  <c r="G184" i="5"/>
  <c r="J642" i="10"/>
  <c r="G193" i="5"/>
  <c r="J651" i="10"/>
  <c r="G188" i="5"/>
  <c r="J646" i="10"/>
  <c r="H180" i="5"/>
  <c r="K638" i="10"/>
  <c r="K624" i="10"/>
  <c r="K615" i="10"/>
  <c r="K628" i="10"/>
  <c r="K619" i="10"/>
  <c r="K614" i="10"/>
  <c r="K622" i="10"/>
  <c r="K617" i="10"/>
  <c r="K623" i="10"/>
  <c r="K625" i="10"/>
  <c r="K618" i="10"/>
  <c r="K626" i="10"/>
  <c r="K616" i="10"/>
  <c r="K621" i="10"/>
  <c r="K627" i="10"/>
  <c r="K620" i="10"/>
  <c r="I52" i="5"/>
  <c r="J242" i="10"/>
  <c r="I301" i="10"/>
  <c r="M245" i="10"/>
  <c r="D76" i="5"/>
  <c r="I46" i="5"/>
  <c r="H273" i="10"/>
  <c r="P247" i="10" s="1"/>
  <c r="M239" i="10"/>
  <c r="P239" i="10" s="1"/>
  <c r="J245" i="10" s="1"/>
  <c r="E287" i="6"/>
  <c r="E35" i="7" s="1"/>
  <c r="I575" i="10" s="1"/>
  <c r="G296" i="6"/>
  <c r="G323" i="6"/>
  <c r="G320" i="6"/>
  <c r="G327" i="6"/>
  <c r="E347" i="6"/>
  <c r="E40" i="7" s="1"/>
  <c r="G342" i="6"/>
  <c r="G349" i="6"/>
  <c r="G357" i="6"/>
  <c r="G364" i="6"/>
  <c r="E155" i="6"/>
  <c r="E24" i="7" s="1"/>
  <c r="I564" i="10" s="1"/>
  <c r="E251" i="6"/>
  <c r="E107" i="6"/>
  <c r="E20" i="7" s="1"/>
  <c r="I560" i="10" s="1"/>
  <c r="F35" i="6"/>
  <c r="F15" i="6"/>
  <c r="F19" i="6"/>
  <c r="F23" i="6"/>
  <c r="F27" i="6"/>
  <c r="F31" i="6"/>
  <c r="F47" i="6"/>
  <c r="F39" i="6"/>
  <c r="F43" i="6"/>
  <c r="F59" i="6"/>
  <c r="F51" i="6"/>
  <c r="F55" i="6"/>
  <c r="F71" i="6"/>
  <c r="F63" i="6"/>
  <c r="F67" i="6"/>
  <c r="F83" i="6"/>
  <c r="F75" i="6"/>
  <c r="F79" i="6"/>
  <c r="F95" i="6"/>
  <c r="F87" i="6"/>
  <c r="F91" i="6"/>
  <c r="F107" i="6"/>
  <c r="F99" i="6"/>
  <c r="F103" i="6"/>
  <c r="F119" i="6"/>
  <c r="F111" i="6"/>
  <c r="F115" i="6"/>
  <c r="F131" i="6"/>
  <c r="F123" i="6"/>
  <c r="F127" i="6"/>
  <c r="G288" i="6"/>
  <c r="G306" i="6"/>
  <c r="G316" i="6"/>
  <c r="G335" i="6"/>
  <c r="G331" i="6"/>
  <c r="G338" i="6"/>
  <c r="G346" i="6"/>
  <c r="G353" i="6"/>
  <c r="G360" i="6"/>
  <c r="G368" i="6"/>
  <c r="E203" i="6"/>
  <c r="E28" i="7" s="1"/>
  <c r="I568" i="10" s="1"/>
  <c r="E59" i="6"/>
  <c r="F13" i="6"/>
  <c r="F17" i="6"/>
  <c r="F21" i="6"/>
  <c r="F25" i="6"/>
  <c r="F29" i="6"/>
  <c r="F33" i="6"/>
  <c r="F37" i="6"/>
  <c r="F41" i="6"/>
  <c r="F45" i="6"/>
  <c r="F49" i="6"/>
  <c r="F53" i="6"/>
  <c r="F57" i="6"/>
  <c r="F61" i="6"/>
  <c r="F65" i="6"/>
  <c r="F69" i="6"/>
  <c r="F73" i="6"/>
  <c r="F77" i="6"/>
  <c r="F81" i="6"/>
  <c r="F85" i="6"/>
  <c r="F89" i="6"/>
  <c r="F93" i="6"/>
  <c r="F97" i="6"/>
  <c r="F101" i="6"/>
  <c r="F105" i="6"/>
  <c r="F109" i="6"/>
  <c r="F113" i="6"/>
  <c r="F117" i="6"/>
  <c r="F121" i="6"/>
  <c r="F125" i="6"/>
  <c r="F129" i="6"/>
  <c r="F133" i="6"/>
  <c r="F137" i="6"/>
  <c r="F141" i="6"/>
  <c r="F145" i="6"/>
  <c r="F149" i="6"/>
  <c r="F153" i="6"/>
  <c r="F157" i="6"/>
  <c r="F161" i="6"/>
  <c r="F165" i="6"/>
  <c r="F169" i="6"/>
  <c r="F173" i="6"/>
  <c r="F177" i="6"/>
  <c r="F181" i="6"/>
  <c r="F185" i="6"/>
  <c r="F189" i="6"/>
  <c r="F193" i="6"/>
  <c r="F197" i="6"/>
  <c r="F201" i="6"/>
  <c r="F205" i="6"/>
  <c r="F209" i="6"/>
  <c r="F213" i="6"/>
  <c r="F217" i="6"/>
  <c r="F221" i="6"/>
  <c r="F225" i="6"/>
  <c r="F229" i="6"/>
  <c r="F233" i="6"/>
  <c r="F237" i="6"/>
  <c r="F241" i="6"/>
  <c r="F245" i="6"/>
  <c r="F249" i="6"/>
  <c r="F253" i="6"/>
  <c r="F257" i="6"/>
  <c r="F261" i="6"/>
  <c r="F265" i="6"/>
  <c r="F269" i="6"/>
  <c r="F273" i="6"/>
  <c r="F277" i="6"/>
  <c r="F281" i="6"/>
  <c r="G291" i="6"/>
  <c r="G307" i="6"/>
  <c r="G317" i="6"/>
  <c r="G324" i="6"/>
  <c r="G332" i="6"/>
  <c r="G339" i="6"/>
  <c r="E359" i="6"/>
  <c r="E41" i="7" s="1"/>
  <c r="G354" i="6"/>
  <c r="G361" i="6"/>
  <c r="G369" i="6"/>
  <c r="E215" i="6"/>
  <c r="E29" i="7" s="1"/>
  <c r="I569" i="10" s="1"/>
  <c r="E71" i="6"/>
  <c r="E12" i="6"/>
  <c r="D12" i="6"/>
  <c r="F14" i="6"/>
  <c r="F18" i="6"/>
  <c r="F22" i="6"/>
  <c r="F26" i="6"/>
  <c r="F30" i="6"/>
  <c r="F34" i="6"/>
  <c r="F38" i="6"/>
  <c r="F42" i="6"/>
  <c r="F46" i="6"/>
  <c r="F50" i="6"/>
  <c r="F54" i="6"/>
  <c r="F58" i="6"/>
  <c r="F62" i="6"/>
  <c r="F66" i="6"/>
  <c r="F70" i="6"/>
  <c r="F74" i="6"/>
  <c r="F78" i="6"/>
  <c r="F82" i="6"/>
  <c r="F86" i="6"/>
  <c r="F90" i="6"/>
  <c r="F94" i="6"/>
  <c r="F98" i="6"/>
  <c r="F102" i="6"/>
  <c r="F106" i="6"/>
  <c r="F110" i="6"/>
  <c r="F114" i="6"/>
  <c r="F118" i="6"/>
  <c r="F122" i="6"/>
  <c r="F126" i="6"/>
  <c r="F130" i="6"/>
  <c r="F134" i="6"/>
  <c r="F138" i="6"/>
  <c r="F142" i="6"/>
  <c r="F146" i="6"/>
  <c r="F150" i="6"/>
  <c r="F154" i="6"/>
  <c r="F158" i="6"/>
  <c r="F162" i="6"/>
  <c r="F166" i="6"/>
  <c r="F170" i="6"/>
  <c r="F174" i="6"/>
  <c r="F178" i="6"/>
  <c r="F182" i="6"/>
  <c r="F186" i="6"/>
  <c r="F190" i="6"/>
  <c r="F194" i="6"/>
  <c r="F198" i="6"/>
  <c r="F202" i="6"/>
  <c r="F206" i="6"/>
  <c r="F210" i="6"/>
  <c r="F214" i="6"/>
  <c r="F218" i="6"/>
  <c r="F222" i="6"/>
  <c r="F226" i="6"/>
  <c r="F230" i="6"/>
  <c r="F234" i="6"/>
  <c r="F238" i="6"/>
  <c r="F242" i="6"/>
  <c r="F246" i="6"/>
  <c r="F250" i="6"/>
  <c r="F254" i="6"/>
  <c r="F258" i="6"/>
  <c r="F262" i="6"/>
  <c r="F266" i="6"/>
  <c r="F270" i="6"/>
  <c r="F274" i="6"/>
  <c r="F278" i="6"/>
  <c r="G311" i="6"/>
  <c r="G347" i="6"/>
  <c r="G365" i="6"/>
  <c r="F20" i="6"/>
  <c r="F36" i="6"/>
  <c r="F52" i="6"/>
  <c r="F68" i="6"/>
  <c r="F84" i="6"/>
  <c r="F100" i="6"/>
  <c r="F116" i="6"/>
  <c r="F143" i="6"/>
  <c r="F139" i="6"/>
  <c r="F147" i="6"/>
  <c r="F167" i="6"/>
  <c r="F163" i="6"/>
  <c r="F171" i="6"/>
  <c r="F191" i="6"/>
  <c r="F187" i="6"/>
  <c r="F195" i="6"/>
  <c r="F215" i="6"/>
  <c r="F211" i="6"/>
  <c r="F219" i="6"/>
  <c r="F239" i="6"/>
  <c r="F235" i="6"/>
  <c r="F243" i="6"/>
  <c r="F263" i="6"/>
  <c r="F259" i="6"/>
  <c r="F267" i="6"/>
  <c r="F287" i="6"/>
  <c r="F282" i="6"/>
  <c r="F286" i="6"/>
  <c r="F290" i="6"/>
  <c r="F294" i="6"/>
  <c r="F298" i="6"/>
  <c r="F302" i="6"/>
  <c r="F306" i="6"/>
  <c r="F310" i="6"/>
  <c r="F314" i="6"/>
  <c r="F318" i="6"/>
  <c r="F322" i="6"/>
  <c r="F326" i="6"/>
  <c r="F330" i="6"/>
  <c r="F334" i="6"/>
  <c r="F338" i="6"/>
  <c r="F342" i="6"/>
  <c r="F346" i="6"/>
  <c r="F350" i="6"/>
  <c r="F354" i="6"/>
  <c r="F358" i="6"/>
  <c r="F362" i="6"/>
  <c r="F366" i="6"/>
  <c r="F370" i="6"/>
  <c r="G313" i="6"/>
  <c r="G343" i="6"/>
  <c r="E167" i="6"/>
  <c r="E25" i="7" s="1"/>
  <c r="I565" i="10" s="1"/>
  <c r="F24" i="6"/>
  <c r="F40" i="6"/>
  <c r="F56" i="6"/>
  <c r="F72" i="6"/>
  <c r="F88" i="6"/>
  <c r="F104" i="6"/>
  <c r="F120" i="6"/>
  <c r="F132" i="6"/>
  <c r="F140" i="6"/>
  <c r="F148" i="6"/>
  <c r="F156" i="6"/>
  <c r="F164" i="6"/>
  <c r="F172" i="6"/>
  <c r="F180" i="6"/>
  <c r="F188" i="6"/>
  <c r="F196" i="6"/>
  <c r="F204" i="6"/>
  <c r="F212" i="6"/>
  <c r="F220" i="6"/>
  <c r="F228" i="6"/>
  <c r="F236" i="6"/>
  <c r="F244" i="6"/>
  <c r="F252" i="6"/>
  <c r="F260" i="6"/>
  <c r="F268" i="6"/>
  <c r="F276" i="6"/>
  <c r="F283" i="6"/>
  <c r="F299" i="6"/>
  <c r="F291" i="6"/>
  <c r="F295" i="6"/>
  <c r="F311" i="6"/>
  <c r="F303" i="6"/>
  <c r="F307" i="6"/>
  <c r="F323" i="6"/>
  <c r="F315" i="6"/>
  <c r="F319" i="6"/>
  <c r="F335" i="6"/>
  <c r="F327" i="6"/>
  <c r="F331" i="6"/>
  <c r="F347" i="6"/>
  <c r="F339" i="6"/>
  <c r="F343" i="6"/>
  <c r="F359" i="6"/>
  <c r="F351" i="6"/>
  <c r="F355" i="6"/>
  <c r="F371" i="6"/>
  <c r="F363" i="6"/>
  <c r="F367" i="6"/>
  <c r="E368" i="6"/>
  <c r="E364" i="6"/>
  <c r="E360" i="6"/>
  <c r="E355" i="6"/>
  <c r="E351" i="6"/>
  <c r="E346" i="6"/>
  <c r="E342" i="6"/>
  <c r="E338" i="6"/>
  <c r="E333" i="6"/>
  <c r="E329" i="6"/>
  <c r="E325" i="6"/>
  <c r="E320" i="6"/>
  <c r="E316" i="6"/>
  <c r="E312" i="6"/>
  <c r="E307" i="6"/>
  <c r="E303" i="6"/>
  <c r="E298" i="6"/>
  <c r="E294" i="6"/>
  <c r="E290" i="6"/>
  <c r="E285" i="6"/>
  <c r="E281" i="6"/>
  <c r="E277" i="6"/>
  <c r="E272" i="6"/>
  <c r="E268" i="6"/>
  <c r="E264" i="6"/>
  <c r="E259" i="6"/>
  <c r="E255" i="6"/>
  <c r="E250" i="6"/>
  <c r="E246" i="6"/>
  <c r="E242" i="6"/>
  <c r="E237" i="6"/>
  <c r="E233" i="6"/>
  <c r="G321" i="6"/>
  <c r="G350" i="6"/>
  <c r="E143" i="6"/>
  <c r="E23" i="7" s="1"/>
  <c r="I563" i="10" s="1"/>
  <c r="F12" i="6"/>
  <c r="F28" i="6"/>
  <c r="F44" i="6"/>
  <c r="F60" i="6"/>
  <c r="F76" i="6"/>
  <c r="F92" i="6"/>
  <c r="F108" i="6"/>
  <c r="F124" i="6"/>
  <c r="F135" i="6"/>
  <c r="F155" i="6"/>
  <c r="F151" i="6"/>
  <c r="F159" i="6"/>
  <c r="F179" i="6"/>
  <c r="F175" i="6"/>
  <c r="F183" i="6"/>
  <c r="F203" i="6"/>
  <c r="F199" i="6"/>
  <c r="F207" i="6"/>
  <c r="F227" i="6"/>
  <c r="F223" i="6"/>
  <c r="F231" i="6"/>
  <c r="F251" i="6"/>
  <c r="F247" i="6"/>
  <c r="F255" i="6"/>
  <c r="F275" i="6"/>
  <c r="F271" i="6"/>
  <c r="F279" i="6"/>
  <c r="F284" i="6"/>
  <c r="F288" i="6"/>
  <c r="F292" i="6"/>
  <c r="F296" i="6"/>
  <c r="F300" i="6"/>
  <c r="F304" i="6"/>
  <c r="F308" i="6"/>
  <c r="F312" i="6"/>
  <c r="F316" i="6"/>
  <c r="F320" i="6"/>
  <c r="F324" i="6"/>
  <c r="F328" i="6"/>
  <c r="F332" i="6"/>
  <c r="F336" i="6"/>
  <c r="F340" i="6"/>
  <c r="F344" i="6"/>
  <c r="F348" i="6"/>
  <c r="F352" i="6"/>
  <c r="F356" i="6"/>
  <c r="F360" i="6"/>
  <c r="F364" i="6"/>
  <c r="F368" i="6"/>
  <c r="E367" i="6"/>
  <c r="E363" i="6"/>
  <c r="E358" i="6"/>
  <c r="E354" i="6"/>
  <c r="E350" i="6"/>
  <c r="E345" i="6"/>
  <c r="E341" i="6"/>
  <c r="E337" i="6"/>
  <c r="E332" i="6"/>
  <c r="E328" i="6"/>
  <c r="E324" i="6"/>
  <c r="E319" i="6"/>
  <c r="E315" i="6"/>
  <c r="E310" i="6"/>
  <c r="E306" i="6"/>
  <c r="E302" i="6"/>
  <c r="E297" i="6"/>
  <c r="E293" i="6"/>
  <c r="E289" i="6"/>
  <c r="E284" i="6"/>
  <c r="E280" i="6"/>
  <c r="E276" i="6"/>
  <c r="E271" i="6"/>
  <c r="E267" i="6"/>
  <c r="E262" i="6"/>
  <c r="E258" i="6"/>
  <c r="E254" i="6"/>
  <c r="E249" i="6"/>
  <c r="E245" i="6"/>
  <c r="E241" i="6"/>
  <c r="E236" i="6"/>
  <c r="G358" i="6"/>
  <c r="F48" i="6"/>
  <c r="F112" i="6"/>
  <c r="F152" i="6"/>
  <c r="F184" i="6"/>
  <c r="F216" i="6"/>
  <c r="F248" i="6"/>
  <c r="F280" i="6"/>
  <c r="F297" i="6"/>
  <c r="F313" i="6"/>
  <c r="F329" i="6"/>
  <c r="F345" i="6"/>
  <c r="F361" i="6"/>
  <c r="E370" i="6"/>
  <c r="E362" i="6"/>
  <c r="E353" i="6"/>
  <c r="E344" i="6"/>
  <c r="E336" i="6"/>
  <c r="E327" i="6"/>
  <c r="E318" i="6"/>
  <c r="E309" i="6"/>
  <c r="E301" i="6"/>
  <c r="E292" i="6"/>
  <c r="E283" i="6"/>
  <c r="E274" i="6"/>
  <c r="E266" i="6"/>
  <c r="E257" i="6"/>
  <c r="E248" i="6"/>
  <c r="E240" i="6"/>
  <c r="E232" i="6"/>
  <c r="E228" i="6"/>
  <c r="E223" i="6"/>
  <c r="E219" i="6"/>
  <c r="E214" i="6"/>
  <c r="E210" i="6"/>
  <c r="E206" i="6"/>
  <c r="E201" i="6"/>
  <c r="E197" i="6"/>
  <c r="E193" i="6"/>
  <c r="E188" i="6"/>
  <c r="E184" i="6"/>
  <c r="E180" i="6"/>
  <c r="E175" i="6"/>
  <c r="E171" i="6"/>
  <c r="E166" i="6"/>
  <c r="E162" i="6"/>
  <c r="E158" i="6"/>
  <c r="E153" i="6"/>
  <c r="E149" i="6"/>
  <c r="E145" i="6"/>
  <c r="E140" i="6"/>
  <c r="E136" i="6"/>
  <c r="E132" i="6"/>
  <c r="E127" i="6"/>
  <c r="E123" i="6"/>
  <c r="E118" i="6"/>
  <c r="E114" i="6"/>
  <c r="E110" i="6"/>
  <c r="E105" i="6"/>
  <c r="E101" i="6"/>
  <c r="E97" i="6"/>
  <c r="E92" i="6"/>
  <c r="E88" i="6"/>
  <c r="E84" i="6"/>
  <c r="E79" i="6"/>
  <c r="E75" i="6"/>
  <c r="E70" i="6"/>
  <c r="E66" i="6"/>
  <c r="E62" i="6"/>
  <c r="E57" i="6"/>
  <c r="E53" i="6"/>
  <c r="E49" i="6"/>
  <c r="E44" i="6"/>
  <c r="E40" i="6"/>
  <c r="E36" i="6"/>
  <c r="E31" i="6"/>
  <c r="E27" i="6"/>
  <c r="E22" i="6"/>
  <c r="E18" i="6"/>
  <c r="E14" i="6"/>
  <c r="E369" i="6"/>
  <c r="E361" i="6"/>
  <c r="E352" i="6"/>
  <c r="E343" i="6"/>
  <c r="E334" i="6"/>
  <c r="E326" i="6"/>
  <c r="E317" i="6"/>
  <c r="E308" i="6"/>
  <c r="E300" i="6"/>
  <c r="E291" i="6"/>
  <c r="E282" i="6"/>
  <c r="E273" i="6"/>
  <c r="E265" i="6"/>
  <c r="E256" i="6"/>
  <c r="E247" i="6"/>
  <c r="E238" i="6"/>
  <c r="E231" i="6"/>
  <c r="E226" i="6"/>
  <c r="E222" i="6"/>
  <c r="E218" i="6"/>
  <c r="E213" i="6"/>
  <c r="E209" i="6"/>
  <c r="E205" i="6"/>
  <c r="E200" i="6"/>
  <c r="E196" i="6"/>
  <c r="E192" i="6"/>
  <c r="E187" i="6"/>
  <c r="E183" i="6"/>
  <c r="E178" i="6"/>
  <c r="E174" i="6"/>
  <c r="E170" i="6"/>
  <c r="E165" i="6"/>
  <c r="E161" i="6"/>
  <c r="E157" i="6"/>
  <c r="E152" i="6"/>
  <c r="E148" i="6"/>
  <c r="E144" i="6"/>
  <c r="E139" i="6"/>
  <c r="E135" i="6"/>
  <c r="E126" i="6"/>
  <c r="E117" i="6"/>
  <c r="E113" i="6"/>
  <c r="E109" i="6"/>
  <c r="E104" i="6"/>
  <c r="E96" i="6"/>
  <c r="E87" i="6"/>
  <c r="E78" i="6"/>
  <c r="E65" i="6"/>
  <c r="E56" i="6"/>
  <c r="E48" i="6"/>
  <c r="E34" i="6"/>
  <c r="E26" i="6"/>
  <c r="E13" i="6"/>
  <c r="E119" i="6"/>
  <c r="E21" i="7" s="1"/>
  <c r="I561" i="10" s="1"/>
  <c r="F64" i="6"/>
  <c r="F128" i="6"/>
  <c r="F160" i="6"/>
  <c r="F192" i="6"/>
  <c r="F224" i="6"/>
  <c r="F256" i="6"/>
  <c r="F285" i="6"/>
  <c r="F301" i="6"/>
  <c r="F317" i="6"/>
  <c r="F333" i="6"/>
  <c r="F349" i="6"/>
  <c r="F365" i="6"/>
  <c r="F16" i="6"/>
  <c r="F80" i="6"/>
  <c r="F136" i="6"/>
  <c r="F168" i="6"/>
  <c r="F200" i="6"/>
  <c r="F232" i="6"/>
  <c r="F264" i="6"/>
  <c r="F289" i="6"/>
  <c r="F305" i="6"/>
  <c r="F321" i="6"/>
  <c r="F337" i="6"/>
  <c r="F353" i="6"/>
  <c r="F369" i="6"/>
  <c r="E366" i="6"/>
  <c r="E357" i="6"/>
  <c r="E349" i="6"/>
  <c r="E340" i="6"/>
  <c r="E331" i="6"/>
  <c r="E322" i="6"/>
  <c r="E314" i="6"/>
  <c r="E305" i="6"/>
  <c r="E296" i="6"/>
  <c r="E288" i="6"/>
  <c r="E279" i="6"/>
  <c r="E270" i="6"/>
  <c r="E261" i="6"/>
  <c r="E253" i="6"/>
  <c r="E244" i="6"/>
  <c r="E235" i="6"/>
  <c r="E230" i="6"/>
  <c r="E225" i="6"/>
  <c r="E221" i="6"/>
  <c r="E217" i="6"/>
  <c r="E212" i="6"/>
  <c r="E208" i="6"/>
  <c r="E204" i="6"/>
  <c r="E199" i="6"/>
  <c r="E195" i="6"/>
  <c r="E190" i="6"/>
  <c r="E186" i="6"/>
  <c r="E182" i="6"/>
  <c r="E177" i="6"/>
  <c r="E173" i="6"/>
  <c r="E169" i="6"/>
  <c r="E164" i="6"/>
  <c r="E160" i="6"/>
  <c r="E156" i="6"/>
  <c r="E151" i="6"/>
  <c r="E147" i="6"/>
  <c r="E142" i="6"/>
  <c r="E138" i="6"/>
  <c r="E134" i="6"/>
  <c r="E129" i="6"/>
  <c r="E125" i="6"/>
  <c r="E121" i="6"/>
  <c r="E116" i="6"/>
  <c r="E112" i="6"/>
  <c r="E108" i="6"/>
  <c r="E103" i="6"/>
  <c r="E99" i="6"/>
  <c r="E94" i="6"/>
  <c r="E90" i="6"/>
  <c r="E86" i="6"/>
  <c r="E81" i="6"/>
  <c r="E77" i="6"/>
  <c r="E73" i="6"/>
  <c r="E68" i="6"/>
  <c r="E64" i="6"/>
  <c r="E60" i="6"/>
  <c r="E55" i="6"/>
  <c r="E51" i="6"/>
  <c r="E46" i="6"/>
  <c r="E42" i="6"/>
  <c r="E38" i="6"/>
  <c r="E33" i="6"/>
  <c r="E29" i="6"/>
  <c r="E25" i="6"/>
  <c r="E20" i="6"/>
  <c r="E16" i="6"/>
  <c r="G328" i="6"/>
  <c r="F32" i="6"/>
  <c r="F96" i="6"/>
  <c r="F144" i="6"/>
  <c r="F176" i="6"/>
  <c r="F208" i="6"/>
  <c r="F240" i="6"/>
  <c r="F272" i="6"/>
  <c r="F293" i="6"/>
  <c r="F309" i="6"/>
  <c r="F325" i="6"/>
  <c r="F341" i="6"/>
  <c r="F357" i="6"/>
  <c r="E365" i="6"/>
  <c r="E356" i="6"/>
  <c r="E348" i="6"/>
  <c r="E339" i="6"/>
  <c r="E330" i="6"/>
  <c r="E321" i="6"/>
  <c r="E313" i="6"/>
  <c r="E304" i="6"/>
  <c r="E295" i="6"/>
  <c r="E286" i="6"/>
  <c r="E278" i="6"/>
  <c r="E269" i="6"/>
  <c r="E260" i="6"/>
  <c r="E252" i="6"/>
  <c r="E243" i="6"/>
  <c r="E234" i="6"/>
  <c r="E229" i="6"/>
  <c r="E224" i="6"/>
  <c r="E220" i="6"/>
  <c r="E216" i="6"/>
  <c r="E211" i="6"/>
  <c r="E207" i="6"/>
  <c r="E202" i="6"/>
  <c r="E198" i="6"/>
  <c r="E194" i="6"/>
  <c r="E185" i="6"/>
  <c r="E181" i="6"/>
  <c r="E176" i="6"/>
  <c r="E172" i="6"/>
  <c r="E168" i="6"/>
  <c r="E163" i="6"/>
  <c r="E159" i="6"/>
  <c r="E154" i="6"/>
  <c r="E150" i="6"/>
  <c r="E146" i="6"/>
  <c r="E141" i="6"/>
  <c r="E133" i="6"/>
  <c r="E120" i="6"/>
  <c r="E102" i="6"/>
  <c r="E89" i="6"/>
  <c r="E72" i="6"/>
  <c r="E54" i="6"/>
  <c r="E45" i="6"/>
  <c r="E32" i="6"/>
  <c r="E19" i="6"/>
  <c r="E130" i="6"/>
  <c r="E74" i="6"/>
  <c r="E43" i="6"/>
  <c r="E21" i="6"/>
  <c r="E189" i="6"/>
  <c r="E137" i="6"/>
  <c r="E128" i="6"/>
  <c r="E124" i="6"/>
  <c r="E115" i="6"/>
  <c r="E111" i="6"/>
  <c r="E106" i="6"/>
  <c r="E98" i="6"/>
  <c r="E93" i="6"/>
  <c r="E85" i="6"/>
  <c r="E80" i="6"/>
  <c r="E76" i="6"/>
  <c r="E67" i="6"/>
  <c r="E63" i="6"/>
  <c r="E58" i="6"/>
  <c r="E50" i="6"/>
  <c r="E41" i="6"/>
  <c r="E37" i="6"/>
  <c r="E28" i="6"/>
  <c r="E24" i="6"/>
  <c r="E15" i="6"/>
  <c r="E122" i="6"/>
  <c r="E100" i="6"/>
  <c r="E91" i="6"/>
  <c r="E82" i="6"/>
  <c r="E69" i="6"/>
  <c r="E61" i="6"/>
  <c r="E52" i="6"/>
  <c r="E39" i="6"/>
  <c r="E30" i="6"/>
  <c r="E17" i="6"/>
  <c r="E239" i="6"/>
  <c r="E31" i="7" s="1"/>
  <c r="I571" i="10" s="1"/>
  <c r="G363" i="6"/>
  <c r="G348" i="6"/>
  <c r="G334" i="6"/>
  <c r="G319" i="6"/>
  <c r="G295" i="6"/>
  <c r="E83" i="6"/>
  <c r="E18" i="7" s="1"/>
  <c r="G370" i="6"/>
  <c r="G355" i="6"/>
  <c r="G340" i="6"/>
  <c r="G325" i="6"/>
  <c r="G308" i="6"/>
  <c r="G280" i="6"/>
  <c r="E23" i="6"/>
  <c r="E191" i="6"/>
  <c r="G371" i="6"/>
  <c r="G345" i="6"/>
  <c r="G330" i="6"/>
  <c r="G315" i="6"/>
  <c r="E299" i="6"/>
  <c r="E36" i="7" s="1"/>
  <c r="I576" i="10" s="1"/>
  <c r="E35" i="6"/>
  <c r="G366" i="6"/>
  <c r="G351" i="6"/>
  <c r="G336" i="6"/>
  <c r="G322" i="6"/>
  <c r="G302" i="6"/>
  <c r="E95" i="6"/>
  <c r="E19" i="7" s="1"/>
  <c r="I559" i="10" s="1"/>
  <c r="E263" i="6"/>
  <c r="E33" i="7" s="1"/>
  <c r="I573" i="10" s="1"/>
  <c r="G356" i="6"/>
  <c r="G341" i="6"/>
  <c r="G326" i="6"/>
  <c r="G310" i="6"/>
  <c r="E227" i="6"/>
  <c r="E30" i="7" s="1"/>
  <c r="I570" i="10" s="1"/>
  <c r="G362" i="6"/>
  <c r="G359" i="6"/>
  <c r="G333" i="6"/>
  <c r="G318" i="6"/>
  <c r="G292" i="6"/>
  <c r="G276" i="6"/>
  <c r="E47" i="6"/>
  <c r="G367" i="6"/>
  <c r="G352" i="6"/>
  <c r="G337" i="6"/>
  <c r="E335" i="6"/>
  <c r="E39" i="7" s="1"/>
  <c r="G303" i="6"/>
  <c r="E131" i="6"/>
  <c r="E179" i="6"/>
  <c r="E26" i="7" s="1"/>
  <c r="I566" i="10" s="1"/>
  <c r="E371" i="6"/>
  <c r="E42" i="7" s="1"/>
  <c r="G344" i="6"/>
  <c r="G329" i="6"/>
  <c r="G314" i="6"/>
  <c r="G284" i="6"/>
  <c r="G17" i="6"/>
  <c r="G33" i="6"/>
  <c r="G49" i="6"/>
  <c r="G65" i="6"/>
  <c r="G81" i="6"/>
  <c r="G97" i="6"/>
  <c r="G113" i="6"/>
  <c r="G129" i="6"/>
  <c r="G145" i="6"/>
  <c r="G161" i="6"/>
  <c r="G177" i="6"/>
  <c r="G193" i="6"/>
  <c r="G209" i="6"/>
  <c r="G225" i="6"/>
  <c r="G241" i="6"/>
  <c r="G257" i="6"/>
  <c r="G273" i="6"/>
  <c r="G22" i="6"/>
  <c r="G38" i="6"/>
  <c r="G54" i="6"/>
  <c r="G70" i="6"/>
  <c r="G86" i="6"/>
  <c r="G102" i="6"/>
  <c r="G118" i="6"/>
  <c r="G134" i="6"/>
  <c r="G150" i="6"/>
  <c r="G166" i="6"/>
  <c r="G182" i="6"/>
  <c r="G198" i="6"/>
  <c r="G214" i="6"/>
  <c r="G230" i="6"/>
  <c r="G246" i="6"/>
  <c r="G262" i="6"/>
  <c r="G277" i="6"/>
  <c r="G19" i="6"/>
  <c r="G35" i="6"/>
  <c r="G51" i="6"/>
  <c r="G67" i="6"/>
  <c r="G83" i="6"/>
  <c r="G99" i="6"/>
  <c r="G115" i="6"/>
  <c r="G131" i="6"/>
  <c r="G147" i="6"/>
  <c r="G163" i="6"/>
  <c r="G179" i="6"/>
  <c r="G195" i="6"/>
  <c r="G211" i="6"/>
  <c r="G227" i="6"/>
  <c r="G243" i="6"/>
  <c r="G259" i="6"/>
  <c r="G287" i="6"/>
  <c r="G289" i="6"/>
  <c r="G300" i="6"/>
  <c r="G16" i="6"/>
  <c r="G32" i="6"/>
  <c r="G48" i="6"/>
  <c r="G64" i="6"/>
  <c r="G80" i="6"/>
  <c r="G96" i="6"/>
  <c r="G112" i="6"/>
  <c r="G128" i="6"/>
  <c r="G144" i="6"/>
  <c r="G160" i="6"/>
  <c r="G176" i="6"/>
  <c r="G192" i="6"/>
  <c r="G208" i="6"/>
  <c r="G224" i="6"/>
  <c r="G21" i="6"/>
  <c r="G37" i="6"/>
  <c r="G53" i="6"/>
  <c r="G69" i="6"/>
  <c r="G85" i="6"/>
  <c r="G101" i="6"/>
  <c r="G117" i="6"/>
  <c r="G133" i="6"/>
  <c r="G149" i="6"/>
  <c r="G165" i="6"/>
  <c r="G181" i="6"/>
  <c r="G197" i="6"/>
  <c r="G213" i="6"/>
  <c r="G229" i="6"/>
  <c r="G245" i="6"/>
  <c r="G261" i="6"/>
  <c r="G275" i="6"/>
  <c r="G26" i="6"/>
  <c r="G42" i="6"/>
  <c r="G58" i="6"/>
  <c r="G74" i="6"/>
  <c r="G90" i="6"/>
  <c r="G106" i="6"/>
  <c r="G122" i="6"/>
  <c r="G138" i="6"/>
  <c r="G154" i="6"/>
  <c r="G170" i="6"/>
  <c r="G186" i="6"/>
  <c r="G202" i="6"/>
  <c r="G218" i="6"/>
  <c r="G234" i="6"/>
  <c r="G250" i="6"/>
  <c r="G266" i="6"/>
  <c r="G281" i="6"/>
  <c r="G23" i="6"/>
  <c r="G39" i="6"/>
  <c r="G55" i="6"/>
  <c r="G71" i="6"/>
  <c r="G87" i="6"/>
  <c r="G103" i="6"/>
  <c r="G119" i="6"/>
  <c r="G135" i="6"/>
  <c r="G151" i="6"/>
  <c r="G167" i="6"/>
  <c r="G183" i="6"/>
  <c r="G199" i="6"/>
  <c r="G215" i="6"/>
  <c r="G231" i="6"/>
  <c r="G247" i="6"/>
  <c r="G263" i="6"/>
  <c r="G278" i="6"/>
  <c r="G293" i="6"/>
  <c r="G304" i="6"/>
  <c r="G20" i="6"/>
  <c r="G36" i="6"/>
  <c r="G52" i="6"/>
  <c r="G68" i="6"/>
  <c r="G84" i="6"/>
  <c r="G100" i="6"/>
  <c r="G116" i="6"/>
  <c r="G132" i="6"/>
  <c r="G25" i="6"/>
  <c r="G41" i="6"/>
  <c r="G57" i="6"/>
  <c r="G73" i="6"/>
  <c r="G89" i="6"/>
  <c r="G105" i="6"/>
  <c r="G121" i="6"/>
  <c r="G137" i="6"/>
  <c r="G153" i="6"/>
  <c r="G169" i="6"/>
  <c r="G185" i="6"/>
  <c r="G201" i="6"/>
  <c r="G217" i="6"/>
  <c r="G233" i="6"/>
  <c r="G249" i="6"/>
  <c r="G265" i="6"/>
  <c r="G14" i="6"/>
  <c r="G30" i="6"/>
  <c r="G46" i="6"/>
  <c r="G62" i="6"/>
  <c r="G78" i="6"/>
  <c r="G94" i="6"/>
  <c r="G110" i="6"/>
  <c r="G126" i="6"/>
  <c r="G142" i="6"/>
  <c r="G158" i="6"/>
  <c r="G174" i="6"/>
  <c r="G190" i="6"/>
  <c r="G206" i="6"/>
  <c r="G222" i="6"/>
  <c r="G238" i="6"/>
  <c r="G254" i="6"/>
  <c r="G270" i="6"/>
  <c r="G285" i="6"/>
  <c r="G27" i="6"/>
  <c r="G43" i="6"/>
  <c r="G59" i="6"/>
  <c r="G75" i="6"/>
  <c r="G91" i="6"/>
  <c r="G107" i="6"/>
  <c r="G123" i="6"/>
  <c r="G139" i="6"/>
  <c r="G155" i="6"/>
  <c r="G24" i="7" s="1"/>
  <c r="K564" i="10" s="1"/>
  <c r="G171" i="6"/>
  <c r="G187" i="6"/>
  <c r="G203" i="6"/>
  <c r="G28" i="7" s="1"/>
  <c r="K568" i="10" s="1"/>
  <c r="G219" i="6"/>
  <c r="G235" i="6"/>
  <c r="G251" i="6"/>
  <c r="G267" i="6"/>
  <c r="G282" i="6"/>
  <c r="G297" i="6"/>
  <c r="E275" i="6"/>
  <c r="E34" i="7" s="1"/>
  <c r="G24" i="6"/>
  <c r="G40" i="6"/>
  <c r="G56" i="6"/>
  <c r="G72" i="6"/>
  <c r="G88" i="6"/>
  <c r="G104" i="6"/>
  <c r="G120" i="6"/>
  <c r="G136" i="6"/>
  <c r="G13" i="6"/>
  <c r="G29" i="6"/>
  <c r="G45" i="6"/>
  <c r="G61" i="6"/>
  <c r="G77" i="6"/>
  <c r="G93" i="6"/>
  <c r="G109" i="6"/>
  <c r="G125" i="6"/>
  <c r="G141" i="6"/>
  <c r="G157" i="6"/>
  <c r="G173" i="6"/>
  <c r="G189" i="6"/>
  <c r="G205" i="6"/>
  <c r="G221" i="6"/>
  <c r="G237" i="6"/>
  <c r="G253" i="6"/>
  <c r="G269" i="6"/>
  <c r="G18" i="6"/>
  <c r="G34" i="6"/>
  <c r="G50" i="6"/>
  <c r="G66" i="6"/>
  <c r="G82" i="6"/>
  <c r="G98" i="6"/>
  <c r="G114" i="6"/>
  <c r="G130" i="6"/>
  <c r="G146" i="6"/>
  <c r="G162" i="6"/>
  <c r="G178" i="6"/>
  <c r="G194" i="6"/>
  <c r="G210" i="6"/>
  <c r="G226" i="6"/>
  <c r="G242" i="6"/>
  <c r="G258" i="6"/>
  <c r="G274" i="6"/>
  <c r="G15" i="6"/>
  <c r="G31" i="6"/>
  <c r="G47" i="6"/>
  <c r="G63" i="6"/>
  <c r="G79" i="6"/>
  <c r="G95" i="6"/>
  <c r="G111" i="6"/>
  <c r="G127" i="6"/>
  <c r="G143" i="6"/>
  <c r="G159" i="6"/>
  <c r="G175" i="6"/>
  <c r="G191" i="6"/>
  <c r="G207" i="6"/>
  <c r="G223" i="6"/>
  <c r="G239" i="6"/>
  <c r="G255" i="6"/>
  <c r="G271" i="6"/>
  <c r="G286" i="6"/>
  <c r="E311" i="6"/>
  <c r="G12" i="6"/>
  <c r="G28" i="6"/>
  <c r="G44" i="6"/>
  <c r="G60" i="6"/>
  <c r="G76" i="6"/>
  <c r="G92" i="6"/>
  <c r="G108" i="6"/>
  <c r="G124" i="6"/>
  <c r="G140" i="6"/>
  <c r="G156" i="6"/>
  <c r="G172" i="6"/>
  <c r="G188" i="6"/>
  <c r="G204" i="6"/>
  <c r="G220" i="6"/>
  <c r="G164" i="6"/>
  <c r="G168" i="6"/>
  <c r="G264" i="6"/>
  <c r="G148" i="6"/>
  <c r="G180" i="6"/>
  <c r="G212" i="6"/>
  <c r="G236" i="6"/>
  <c r="G252" i="6"/>
  <c r="G268" i="6"/>
  <c r="G299" i="6"/>
  <c r="G301" i="6"/>
  <c r="G312" i="6"/>
  <c r="G196" i="6"/>
  <c r="G260" i="6"/>
  <c r="G294" i="6"/>
  <c r="G200" i="6"/>
  <c r="G248" i="6"/>
  <c r="G298" i="6"/>
  <c r="G152" i="6"/>
  <c r="G184" i="6"/>
  <c r="G216" i="6"/>
  <c r="G240" i="6"/>
  <c r="G256" i="6"/>
  <c r="G272" i="6"/>
  <c r="G290" i="6"/>
  <c r="G305" i="6"/>
  <c r="G228" i="6"/>
  <c r="G244" i="6"/>
  <c r="G279" i="6"/>
  <c r="G309" i="6"/>
  <c r="G232" i="6"/>
  <c r="G283" i="6"/>
  <c r="E323" i="6"/>
  <c r="E38" i="7" s="1"/>
  <c r="G21" i="7" l="1"/>
  <c r="K561" i="10" s="1"/>
  <c r="G29" i="7"/>
  <c r="K569" i="10" s="1"/>
  <c r="G25" i="7"/>
  <c r="K565" i="10" s="1"/>
  <c r="L46" i="5"/>
  <c r="H193" i="5"/>
  <c r="K651" i="10"/>
  <c r="H189" i="5"/>
  <c r="K647" i="10"/>
  <c r="H183" i="5"/>
  <c r="K641" i="10"/>
  <c r="I181" i="5"/>
  <c r="L639" i="10"/>
  <c r="I180" i="5"/>
  <c r="L638" i="10"/>
  <c r="H190" i="5"/>
  <c r="K648" i="10"/>
  <c r="H179" i="5"/>
  <c r="K637" i="10"/>
  <c r="I187" i="5"/>
  <c r="L645" i="10"/>
  <c r="H188" i="5"/>
  <c r="K646" i="10"/>
  <c r="H184" i="5"/>
  <c r="K642" i="10"/>
  <c r="I194" i="5"/>
  <c r="L652" i="10"/>
  <c r="I192" i="5"/>
  <c r="L650" i="10"/>
  <c r="H185" i="5"/>
  <c r="K643" i="10"/>
  <c r="I186" i="5"/>
  <c r="L644" i="10"/>
  <c r="H182" i="5"/>
  <c r="K640" i="10"/>
  <c r="I191" i="5"/>
  <c r="L649" i="10"/>
  <c r="L621" i="10"/>
  <c r="L625" i="10"/>
  <c r="L617" i="10"/>
  <c r="L628" i="10"/>
  <c r="L623" i="10"/>
  <c r="L622" i="10"/>
  <c r="L614" i="10"/>
  <c r="L616" i="10"/>
  <c r="L626" i="10"/>
  <c r="L619" i="10"/>
  <c r="L615" i="10"/>
  <c r="L620" i="10"/>
  <c r="L627" i="10"/>
  <c r="L618" i="10"/>
  <c r="L624" i="10"/>
  <c r="K47" i="9"/>
  <c r="K45" i="9" s="1"/>
  <c r="AY17" i="9" s="1"/>
  <c r="F47" i="9"/>
  <c r="F45" i="9" s="1"/>
  <c r="AT17" i="9" s="1"/>
  <c r="G47" i="9"/>
  <c r="G45" i="9" s="1"/>
  <c r="AU17" i="9" s="1"/>
  <c r="G33" i="7"/>
  <c r="K573" i="10" s="1"/>
  <c r="F33" i="9"/>
  <c r="F31" i="9" s="1"/>
  <c r="F34" i="9" s="1"/>
  <c r="F35" i="9" s="1"/>
  <c r="I47" i="9"/>
  <c r="I45" i="9" s="1"/>
  <c r="AW17" i="9" s="1"/>
  <c r="L47" i="9"/>
  <c r="L45" i="9" s="1"/>
  <c r="AZ17" i="9" s="1"/>
  <c r="E33" i="9"/>
  <c r="E31" i="9" s="1"/>
  <c r="AI17" i="9" s="1"/>
  <c r="J16" i="9"/>
  <c r="J14" i="9" s="1"/>
  <c r="AD17" i="9" s="1"/>
  <c r="C33" i="9"/>
  <c r="C31" i="9" s="1"/>
  <c r="C34" i="9" s="1"/>
  <c r="L33" i="9"/>
  <c r="L31" i="9" s="1"/>
  <c r="AP17" i="9" s="1"/>
  <c r="L16" i="9"/>
  <c r="L14" i="9" s="1"/>
  <c r="AF17" i="9" s="1"/>
  <c r="K16" i="9"/>
  <c r="K14" i="9" s="1"/>
  <c r="K17" i="9" s="1"/>
  <c r="AE19" i="9" s="1"/>
  <c r="AE33" i="9" s="1"/>
  <c r="D16" i="9"/>
  <c r="D14" i="9" s="1"/>
  <c r="D17" i="9" s="1"/>
  <c r="D19" i="9" s="1"/>
  <c r="H16" i="9"/>
  <c r="H14" i="9" s="1"/>
  <c r="H17" i="9" s="1"/>
  <c r="G16" i="9"/>
  <c r="G14" i="9" s="1"/>
  <c r="AA17" i="9" s="1"/>
  <c r="E16" i="9"/>
  <c r="E14" i="9" s="1"/>
  <c r="E17" i="9" s="1"/>
  <c r="K33" i="9"/>
  <c r="K31" i="9" s="1"/>
  <c r="K34" i="9" s="1"/>
  <c r="E47" i="9"/>
  <c r="E45" i="9" s="1"/>
  <c r="AS17" i="9" s="1"/>
  <c r="H47" i="9"/>
  <c r="H45" i="9" s="1"/>
  <c r="AV17" i="9" s="1"/>
  <c r="D33" i="9"/>
  <c r="D31" i="9" s="1"/>
  <c r="D34" i="9" s="1"/>
  <c r="C47" i="9"/>
  <c r="C45" i="9" s="1"/>
  <c r="C48" i="9" s="1"/>
  <c r="AQ19" i="9" s="1"/>
  <c r="AQ33" i="9" s="1"/>
  <c r="I16" i="9"/>
  <c r="I14" i="9" s="1"/>
  <c r="AC17" i="9" s="1"/>
  <c r="J33" i="9"/>
  <c r="J31" i="9" s="1"/>
  <c r="AN17" i="9" s="1"/>
  <c r="I33" i="9"/>
  <c r="I31" i="9" s="1"/>
  <c r="AM17" i="9" s="1"/>
  <c r="F16" i="9"/>
  <c r="F14" i="9" s="1"/>
  <c r="Z17" i="9" s="1"/>
  <c r="H33" i="9"/>
  <c r="H31" i="9" s="1"/>
  <c r="AL17" i="9" s="1"/>
  <c r="G33" i="9"/>
  <c r="G31" i="9" s="1"/>
  <c r="AK17" i="9" s="1"/>
  <c r="J47" i="9"/>
  <c r="J45" i="9" s="1"/>
  <c r="J48" i="9" s="1"/>
  <c r="D47" i="9"/>
  <c r="D45" i="9" s="1"/>
  <c r="D48" i="9" s="1"/>
  <c r="C16" i="9"/>
  <c r="C14" i="9" s="1"/>
  <c r="C17" i="9" s="1"/>
  <c r="L108" i="5"/>
  <c r="D108" i="5"/>
  <c r="H349" i="10" s="1"/>
  <c r="G108" i="5"/>
  <c r="K349" i="10" s="1"/>
  <c r="E108" i="5"/>
  <c r="I349" i="10" s="1"/>
  <c r="H108" i="5"/>
  <c r="F108" i="5"/>
  <c r="J349" i="10" s="1"/>
  <c r="I108" i="5"/>
  <c r="C108" i="5"/>
  <c r="G349" i="10" s="1"/>
  <c r="K108" i="5"/>
  <c r="J108" i="5"/>
  <c r="N349" i="10" s="1"/>
  <c r="E13" i="7"/>
  <c r="I553" i="10" s="1"/>
  <c r="E14" i="7"/>
  <c r="I554" i="10" s="1"/>
  <c r="E15" i="7"/>
  <c r="I555" i="10" s="1"/>
  <c r="E32" i="7"/>
  <c r="I572" i="10" s="1"/>
  <c r="E37" i="7"/>
  <c r="I577" i="10" s="1"/>
  <c r="E22" i="7"/>
  <c r="I562" i="10" s="1"/>
  <c r="E27" i="7"/>
  <c r="I567" i="10" s="1"/>
  <c r="E17" i="7"/>
  <c r="I557" i="10" s="1"/>
  <c r="E16" i="7"/>
  <c r="I556" i="10" s="1"/>
  <c r="G19" i="7"/>
  <c r="K559" i="10" s="1"/>
  <c r="G26" i="7"/>
  <c r="K566" i="10" s="1"/>
  <c r="G23" i="7"/>
  <c r="K563" i="10" s="1"/>
  <c r="G20" i="7"/>
  <c r="K560" i="10" s="1"/>
  <c r="G35" i="7"/>
  <c r="K575" i="10" s="1"/>
  <c r="G36" i="7"/>
  <c r="K576" i="10" s="1"/>
  <c r="G31" i="7"/>
  <c r="K571" i="10" s="1"/>
  <c r="I574" i="10"/>
  <c r="G34" i="7"/>
  <c r="K12" i="6"/>
  <c r="D13" i="6" s="1"/>
  <c r="K13" i="6" s="1"/>
  <c r="D14" i="6" s="1"/>
  <c r="K14" i="6" s="1"/>
  <c r="D15" i="6" s="1"/>
  <c r="K15" i="6" s="1"/>
  <c r="D16" i="6" s="1"/>
  <c r="K16" i="6" s="1"/>
  <c r="D17" i="6" s="1"/>
  <c r="K17" i="6" s="1"/>
  <c r="D18" i="6" s="1"/>
  <c r="K18" i="6" s="1"/>
  <c r="D19" i="6" s="1"/>
  <c r="K19" i="6" s="1"/>
  <c r="D20" i="6" s="1"/>
  <c r="K20" i="6" s="1"/>
  <c r="D21" i="6" s="1"/>
  <c r="K21" i="6" s="1"/>
  <c r="D22" i="6" s="1"/>
  <c r="K22" i="6" s="1"/>
  <c r="D23" i="6" s="1"/>
  <c r="G30" i="7"/>
  <c r="K570" i="10" s="1"/>
  <c r="I582" i="10"/>
  <c r="G42" i="7"/>
  <c r="K582" i="10" s="1"/>
  <c r="G39" i="7"/>
  <c r="K579" i="10" s="1"/>
  <c r="I579" i="10"/>
  <c r="J167" i="6"/>
  <c r="J367" i="6"/>
  <c r="J76" i="6"/>
  <c r="J92" i="6"/>
  <c r="J103" i="6"/>
  <c r="J194" i="6"/>
  <c r="J262" i="6"/>
  <c r="J265" i="6"/>
  <c r="J278" i="6"/>
  <c r="J319" i="6"/>
  <c r="J329" i="6"/>
  <c r="J50" i="6"/>
  <c r="J74" i="6"/>
  <c r="J101" i="6"/>
  <c r="J161" i="6"/>
  <c r="J260" i="6"/>
  <c r="J327" i="6"/>
  <c r="J348" i="6"/>
  <c r="J72" i="6"/>
  <c r="J80" i="6"/>
  <c r="J99" i="6"/>
  <c r="J181" i="6"/>
  <c r="J254" i="6"/>
  <c r="J273" i="6"/>
  <c r="J298" i="6"/>
  <c r="J333" i="6"/>
  <c r="J17" i="6"/>
  <c r="J36" i="6"/>
  <c r="J45" i="6"/>
  <c r="J54" i="6"/>
  <c r="J369" i="6"/>
  <c r="J331" i="6"/>
  <c r="J356" i="6"/>
  <c r="J78" i="6"/>
  <c r="J94" i="6"/>
  <c r="J97" i="6"/>
  <c r="J105" i="6"/>
  <c r="J252" i="6"/>
  <c r="J267" i="6"/>
  <c r="J43" i="6"/>
  <c r="J52" i="6"/>
  <c r="J62" i="6"/>
  <c r="J365" i="6"/>
  <c r="J82" i="6"/>
  <c r="J138" i="6"/>
  <c r="J286" i="6"/>
  <c r="J38" i="6"/>
  <c r="J310" i="6"/>
  <c r="J302" i="6"/>
  <c r="J288" i="6"/>
  <c r="J217" i="6"/>
  <c r="J140" i="6"/>
  <c r="J311" i="6"/>
  <c r="J14" i="6"/>
  <c r="J51" i="6"/>
  <c r="J39" i="6"/>
  <c r="J332" i="6"/>
  <c r="J294" i="6"/>
  <c r="J266" i="6"/>
  <c r="J240" i="6"/>
  <c r="J153" i="6"/>
  <c r="J106" i="6"/>
  <c r="J98" i="6"/>
  <c r="J79" i="6"/>
  <c r="J370" i="6"/>
  <c r="J352" i="6"/>
  <c r="J21" i="6"/>
  <c r="J60" i="6"/>
  <c r="J27" i="6"/>
  <c r="J15" i="6"/>
  <c r="J309" i="6"/>
  <c r="J301" i="6"/>
  <c r="J284" i="6"/>
  <c r="J205" i="6"/>
  <c r="J123" i="6"/>
  <c r="J61" i="6"/>
  <c r="J48" i="6"/>
  <c r="J33" i="6"/>
  <c r="J18" i="6"/>
  <c r="J324" i="6"/>
  <c r="J314" i="6"/>
  <c r="J293" i="6"/>
  <c r="J279" i="6"/>
  <c r="J216" i="6"/>
  <c r="J162" i="6"/>
  <c r="J139" i="6"/>
  <c r="J124" i="6"/>
  <c r="J355" i="6"/>
  <c r="J339" i="6"/>
  <c r="J179" i="6"/>
  <c r="J371" i="6"/>
  <c r="L371" i="6" s="1"/>
  <c r="J360" i="6"/>
  <c r="J69" i="6"/>
  <c r="J90" i="6"/>
  <c r="J308" i="6"/>
  <c r="J300" i="6"/>
  <c r="J280" i="6"/>
  <c r="J206" i="6"/>
  <c r="J132" i="6"/>
  <c r="J64" i="6"/>
  <c r="J313" i="6"/>
  <c r="J49" i="6"/>
  <c r="J37" i="6"/>
  <c r="J330" i="6"/>
  <c r="J282" i="6"/>
  <c r="J261" i="6"/>
  <c r="J182" i="6"/>
  <c r="J142" i="6"/>
  <c r="J104" i="6"/>
  <c r="J93" i="6"/>
  <c r="J77" i="6"/>
  <c r="J368" i="6"/>
  <c r="J263" i="6"/>
  <c r="J321" i="6"/>
  <c r="J41" i="6"/>
  <c r="J25" i="6"/>
  <c r="J325" i="6"/>
  <c r="J307" i="6"/>
  <c r="J296" i="6"/>
  <c r="J276" i="6"/>
  <c r="J192" i="6"/>
  <c r="J354" i="6"/>
  <c r="J57" i="6"/>
  <c r="J31" i="6"/>
  <c r="J16" i="6"/>
  <c r="J320" i="6"/>
  <c r="J312" i="6"/>
  <c r="J285" i="6"/>
  <c r="J277" i="6"/>
  <c r="J193" i="6"/>
  <c r="J160" i="6"/>
  <c r="J137" i="6"/>
  <c r="J122" i="6"/>
  <c r="J353" i="6"/>
  <c r="J337" i="6"/>
  <c r="J35" i="6"/>
  <c r="J227" i="6"/>
  <c r="J341" i="6"/>
  <c r="J362" i="6"/>
  <c r="J84" i="6"/>
  <c r="J306" i="6"/>
  <c r="J292" i="6"/>
  <c r="J230" i="6"/>
  <c r="J204" i="6"/>
  <c r="J358" i="6"/>
  <c r="J30" i="6"/>
  <c r="J58" i="6"/>
  <c r="J46" i="6"/>
  <c r="J32" i="6"/>
  <c r="J328" i="6"/>
  <c r="J274" i="6"/>
  <c r="J259" i="6"/>
  <c r="J180" i="6"/>
  <c r="J134" i="6"/>
  <c r="J102" i="6"/>
  <c r="J91" i="6"/>
  <c r="J75" i="6"/>
  <c r="J366" i="6"/>
  <c r="J56" i="6"/>
  <c r="J12" i="6"/>
  <c r="J34" i="6"/>
  <c r="J22" i="6"/>
  <c r="J322" i="6"/>
  <c r="J305" i="6"/>
  <c r="J291" i="6"/>
  <c r="J242" i="6"/>
  <c r="J159" i="6"/>
  <c r="J338" i="6"/>
  <c r="J55" i="6"/>
  <c r="J42" i="6"/>
  <c r="J336" i="6"/>
  <c r="J318" i="6"/>
  <c r="J297" i="6"/>
  <c r="J283" i="6"/>
  <c r="J241" i="6"/>
  <c r="J166" i="6"/>
  <c r="J154" i="6"/>
  <c r="J135" i="6"/>
  <c r="J120" i="6"/>
  <c r="J351" i="6"/>
  <c r="J215" i="6"/>
  <c r="J359" i="6"/>
  <c r="J83" i="6"/>
  <c r="J275" i="6"/>
  <c r="J343" i="6"/>
  <c r="J65" i="6"/>
  <c r="J86" i="6"/>
  <c r="J19" i="6"/>
  <c r="J304" i="6"/>
  <c r="J290" i="6"/>
  <c r="J228" i="6"/>
  <c r="J163" i="6"/>
  <c r="J350" i="6"/>
  <c r="J26" i="6"/>
  <c r="J53" i="6"/>
  <c r="J44" i="6"/>
  <c r="J334" i="6"/>
  <c r="J315" i="6"/>
  <c r="J268" i="6"/>
  <c r="J253" i="6"/>
  <c r="J165" i="6"/>
  <c r="J121" i="6"/>
  <c r="J100" i="6"/>
  <c r="J81" i="6"/>
  <c r="J73" i="6"/>
  <c r="J364" i="6"/>
  <c r="J28" i="6"/>
  <c r="J13" i="6"/>
  <c r="J29" i="6"/>
  <c r="J20" i="6"/>
  <c r="J317" i="6"/>
  <c r="J303" i="6"/>
  <c r="J289" i="6"/>
  <c r="J229" i="6"/>
  <c r="J136" i="6"/>
  <c r="J71" i="6"/>
  <c r="L71" i="6" s="1"/>
  <c r="J63" i="6"/>
  <c r="J40" i="6"/>
  <c r="J24" i="6"/>
  <c r="J326" i="6"/>
  <c r="J316" i="6"/>
  <c r="J295" i="6"/>
  <c r="J281" i="6"/>
  <c r="J218" i="6"/>
  <c r="J164" i="6"/>
  <c r="J141" i="6"/>
  <c r="J133" i="6"/>
  <c r="J357" i="6"/>
  <c r="J349" i="6"/>
  <c r="J131" i="6"/>
  <c r="J323" i="6"/>
  <c r="J345" i="6"/>
  <c r="J67" i="6"/>
  <c r="J88" i="6"/>
  <c r="J112" i="6"/>
  <c r="J126" i="6"/>
  <c r="J147" i="6"/>
  <c r="J169" i="6"/>
  <c r="J177" i="6"/>
  <c r="J189" i="6"/>
  <c r="J201" i="6"/>
  <c r="J213" i="6"/>
  <c r="J225" i="6"/>
  <c r="J237" i="6"/>
  <c r="J249" i="6"/>
  <c r="J272" i="6"/>
  <c r="J191" i="6"/>
  <c r="L191" i="6" s="1"/>
  <c r="J23" i="6"/>
  <c r="J203" i="6"/>
  <c r="J340" i="6"/>
  <c r="J361" i="6"/>
  <c r="J70" i="6"/>
  <c r="J109" i="6"/>
  <c r="J117" i="6"/>
  <c r="J144" i="6"/>
  <c r="J152" i="6"/>
  <c r="J170" i="6"/>
  <c r="J178" i="6"/>
  <c r="J190" i="6"/>
  <c r="J202" i="6"/>
  <c r="J214" i="6"/>
  <c r="J226" i="6"/>
  <c r="J238" i="6"/>
  <c r="J250" i="6"/>
  <c r="J269" i="6"/>
  <c r="J96" i="6"/>
  <c r="J114" i="6"/>
  <c r="J128" i="6"/>
  <c r="J149" i="6"/>
  <c r="J171" i="6"/>
  <c r="J183" i="6"/>
  <c r="J195" i="6"/>
  <c r="J207" i="6"/>
  <c r="J219" i="6"/>
  <c r="J231" i="6"/>
  <c r="J243" i="6"/>
  <c r="J255" i="6"/>
  <c r="J47" i="6"/>
  <c r="J239" i="6"/>
  <c r="J59" i="6"/>
  <c r="J251" i="6"/>
  <c r="L251" i="6" s="1"/>
  <c r="J342" i="6"/>
  <c r="J363" i="6"/>
  <c r="J85" i="6"/>
  <c r="J111" i="6"/>
  <c r="J125" i="6"/>
  <c r="J146" i="6"/>
  <c r="J156" i="6"/>
  <c r="J172" i="6"/>
  <c r="J184" i="6"/>
  <c r="J196" i="6"/>
  <c r="J208" i="6"/>
  <c r="J220" i="6"/>
  <c r="J232" i="6"/>
  <c r="J244" i="6"/>
  <c r="J256" i="6"/>
  <c r="J271" i="6"/>
  <c r="J108" i="6"/>
  <c r="J116" i="6"/>
  <c r="J130" i="6"/>
  <c r="J151" i="6"/>
  <c r="J173" i="6"/>
  <c r="J185" i="6"/>
  <c r="J197" i="6"/>
  <c r="J209" i="6"/>
  <c r="J221" i="6"/>
  <c r="J233" i="6"/>
  <c r="J245" i="6"/>
  <c r="J257" i="6"/>
  <c r="J95" i="6"/>
  <c r="J287" i="6"/>
  <c r="J107" i="6"/>
  <c r="J299" i="6"/>
  <c r="J344" i="6"/>
  <c r="J66" i="6"/>
  <c r="J87" i="6"/>
  <c r="J113" i="6"/>
  <c r="J127" i="6"/>
  <c r="J148" i="6"/>
  <c r="J158" i="6"/>
  <c r="J174" i="6"/>
  <c r="J186" i="6"/>
  <c r="J198" i="6"/>
  <c r="J210" i="6"/>
  <c r="J222" i="6"/>
  <c r="J234" i="6"/>
  <c r="J246" i="6"/>
  <c r="J258" i="6"/>
  <c r="J119" i="6"/>
  <c r="J110" i="6"/>
  <c r="J118" i="6"/>
  <c r="J145" i="6"/>
  <c r="J157" i="6"/>
  <c r="J175" i="6"/>
  <c r="J187" i="6"/>
  <c r="J199" i="6"/>
  <c r="J211" i="6"/>
  <c r="J223" i="6"/>
  <c r="J235" i="6"/>
  <c r="J247" i="6"/>
  <c r="J270" i="6"/>
  <c r="J143" i="6"/>
  <c r="J335" i="6"/>
  <c r="J155" i="6"/>
  <c r="J347" i="6"/>
  <c r="J346" i="6"/>
  <c r="J68" i="6"/>
  <c r="J89" i="6"/>
  <c r="J115" i="6"/>
  <c r="J129" i="6"/>
  <c r="J150" i="6"/>
  <c r="J168" i="6"/>
  <c r="J176" i="6"/>
  <c r="J188" i="6"/>
  <c r="J200" i="6"/>
  <c r="J212" i="6"/>
  <c r="J224" i="6"/>
  <c r="J236" i="6"/>
  <c r="J248" i="6"/>
  <c r="J264" i="6"/>
  <c r="G38" i="7"/>
  <c r="K578" i="10" s="1"/>
  <c r="I578" i="10"/>
  <c r="I287" i="6"/>
  <c r="I179" i="6"/>
  <c r="I131" i="6"/>
  <c r="I347" i="6"/>
  <c r="I143" i="6"/>
  <c r="I359" i="6"/>
  <c r="I215" i="6"/>
  <c r="I350" i="6"/>
  <c r="I354" i="6"/>
  <c r="I358" i="6"/>
  <c r="I87" i="6"/>
  <c r="I91" i="6"/>
  <c r="I132" i="6"/>
  <c r="I136" i="6"/>
  <c r="I140" i="6"/>
  <c r="I181" i="6"/>
  <c r="I185" i="6"/>
  <c r="I189" i="6"/>
  <c r="I230" i="6"/>
  <c r="I234" i="6"/>
  <c r="I238" i="6"/>
  <c r="I279" i="6"/>
  <c r="I283" i="6"/>
  <c r="I324" i="6"/>
  <c r="I328" i="6"/>
  <c r="I332" i="6"/>
  <c r="I37" i="6"/>
  <c r="I41" i="6"/>
  <c r="I45" i="6"/>
  <c r="I361" i="6"/>
  <c r="I365" i="6"/>
  <c r="I369" i="6"/>
  <c r="I98" i="6"/>
  <c r="I102" i="6"/>
  <c r="I106" i="6"/>
  <c r="I147" i="6"/>
  <c r="I151" i="6"/>
  <c r="I192" i="6"/>
  <c r="I196" i="6"/>
  <c r="I200" i="6"/>
  <c r="I241" i="6"/>
  <c r="I245" i="6"/>
  <c r="I249" i="6"/>
  <c r="I290" i="6"/>
  <c r="I294" i="6"/>
  <c r="I298" i="6"/>
  <c r="I50" i="6"/>
  <c r="I54" i="6"/>
  <c r="I58" i="6"/>
  <c r="I62" i="6"/>
  <c r="I30" i="6"/>
  <c r="I67" i="6"/>
  <c r="I108" i="6"/>
  <c r="I112" i="6"/>
  <c r="I116" i="6"/>
  <c r="I157" i="6"/>
  <c r="I161" i="6"/>
  <c r="I165" i="6"/>
  <c r="I206" i="6"/>
  <c r="I210" i="6"/>
  <c r="I214" i="6"/>
  <c r="I255" i="6"/>
  <c r="I259" i="6"/>
  <c r="I300" i="6"/>
  <c r="I304" i="6"/>
  <c r="I308" i="6"/>
  <c r="I15" i="6"/>
  <c r="I20" i="6"/>
  <c r="I26" i="6"/>
  <c r="I337" i="6"/>
  <c r="I341" i="6"/>
  <c r="I345" i="6"/>
  <c r="I74" i="6"/>
  <c r="I78" i="6"/>
  <c r="I82" i="6"/>
  <c r="I123" i="6"/>
  <c r="I127" i="6"/>
  <c r="I168" i="6"/>
  <c r="I172" i="6"/>
  <c r="I176" i="6"/>
  <c r="I217" i="6"/>
  <c r="I221" i="6"/>
  <c r="I225" i="6"/>
  <c r="I266" i="6"/>
  <c r="I270" i="6"/>
  <c r="I274" i="6"/>
  <c r="I315" i="6"/>
  <c r="I319" i="6"/>
  <c r="I13" i="6"/>
  <c r="I323" i="6"/>
  <c r="I227" i="6"/>
  <c r="I23" i="6"/>
  <c r="I155" i="6"/>
  <c r="I24" i="7" s="1"/>
  <c r="D37" i="9" s="1"/>
  <c r="I59" i="6"/>
  <c r="I239" i="6"/>
  <c r="I95" i="6"/>
  <c r="I47" i="6"/>
  <c r="I351" i="6"/>
  <c r="I355" i="6"/>
  <c r="I84" i="6"/>
  <c r="I88" i="6"/>
  <c r="I92" i="6"/>
  <c r="I133" i="6"/>
  <c r="I137" i="6"/>
  <c r="I141" i="6"/>
  <c r="I182" i="6"/>
  <c r="I186" i="6"/>
  <c r="I190" i="6"/>
  <c r="I231" i="6"/>
  <c r="I235" i="6"/>
  <c r="I276" i="6"/>
  <c r="I280" i="6"/>
  <c r="I284" i="6"/>
  <c r="I325" i="6"/>
  <c r="I329" i="6"/>
  <c r="I333" i="6"/>
  <c r="I38" i="6"/>
  <c r="I42" i="6"/>
  <c r="I46" i="6"/>
  <c r="I362" i="6"/>
  <c r="I366" i="6"/>
  <c r="I370" i="6"/>
  <c r="I99" i="6"/>
  <c r="I103" i="6"/>
  <c r="I144" i="6"/>
  <c r="I148" i="6"/>
  <c r="I152" i="6"/>
  <c r="I193" i="6"/>
  <c r="I197" i="6"/>
  <c r="I201" i="6"/>
  <c r="I242" i="6"/>
  <c r="I246" i="6"/>
  <c r="I250" i="6"/>
  <c r="I291" i="6"/>
  <c r="I295" i="6"/>
  <c r="I336" i="6"/>
  <c r="I51" i="6"/>
  <c r="I55" i="6"/>
  <c r="I19" i="6"/>
  <c r="I64" i="6"/>
  <c r="I33" i="6"/>
  <c r="I68" i="6"/>
  <c r="I109" i="6"/>
  <c r="I113" i="6"/>
  <c r="I117" i="6"/>
  <c r="I158" i="6"/>
  <c r="I162" i="6"/>
  <c r="I166" i="6"/>
  <c r="I207" i="6"/>
  <c r="I211" i="6"/>
  <c r="I252" i="6"/>
  <c r="I256" i="6"/>
  <c r="I260" i="6"/>
  <c r="I301" i="6"/>
  <c r="I305" i="6"/>
  <c r="I309" i="6"/>
  <c r="I16" i="6"/>
  <c r="I21" i="6"/>
  <c r="I29" i="6"/>
  <c r="I338" i="6"/>
  <c r="I342" i="6"/>
  <c r="I346" i="6"/>
  <c r="I75" i="6"/>
  <c r="I79" i="6"/>
  <c r="I120" i="6"/>
  <c r="I124" i="6"/>
  <c r="I128" i="6"/>
  <c r="I169" i="6"/>
  <c r="I173" i="6"/>
  <c r="I177" i="6"/>
  <c r="I218" i="6"/>
  <c r="I222" i="6"/>
  <c r="I226" i="6"/>
  <c r="I267" i="6"/>
  <c r="I271" i="6"/>
  <c r="I312" i="6"/>
  <c r="I316" i="6"/>
  <c r="I320" i="6"/>
  <c r="I25" i="6"/>
  <c r="I371" i="6"/>
  <c r="I35" i="6"/>
  <c r="I299" i="6"/>
  <c r="I203" i="6"/>
  <c r="I28" i="7" s="1"/>
  <c r="H37" i="9" s="1"/>
  <c r="I107" i="6"/>
  <c r="I119" i="6"/>
  <c r="I21" i="7" s="1"/>
  <c r="K21" i="9" s="1"/>
  <c r="I191" i="6"/>
  <c r="I348" i="6"/>
  <c r="I352" i="6"/>
  <c r="I356" i="6"/>
  <c r="I85" i="6"/>
  <c r="I89" i="6"/>
  <c r="I93" i="6"/>
  <c r="I134" i="6"/>
  <c r="I138" i="6"/>
  <c r="I142" i="6"/>
  <c r="I183" i="6"/>
  <c r="I187" i="6"/>
  <c r="I228" i="6"/>
  <c r="I232" i="6"/>
  <c r="I236" i="6"/>
  <c r="I277" i="6"/>
  <c r="I281" i="6"/>
  <c r="I285" i="6"/>
  <c r="I326" i="6"/>
  <c r="I330" i="6"/>
  <c r="I334" i="6"/>
  <c r="I39" i="6"/>
  <c r="I43" i="6"/>
  <c r="I12" i="6"/>
  <c r="I363" i="6"/>
  <c r="I367" i="6"/>
  <c r="I96" i="6"/>
  <c r="I100" i="6"/>
  <c r="I104" i="6"/>
  <c r="I145" i="6"/>
  <c r="I149" i="6"/>
  <c r="I153" i="6"/>
  <c r="I194" i="6"/>
  <c r="I198" i="6"/>
  <c r="I202" i="6"/>
  <c r="I243" i="6"/>
  <c r="I247" i="6"/>
  <c r="I288" i="6"/>
  <c r="I292" i="6"/>
  <c r="I296" i="6"/>
  <c r="I48" i="6"/>
  <c r="I52" i="6"/>
  <c r="I56" i="6"/>
  <c r="I22" i="6"/>
  <c r="I24" i="6"/>
  <c r="I65" i="6"/>
  <c r="I69" i="6"/>
  <c r="I110" i="6"/>
  <c r="I114" i="6"/>
  <c r="I118" i="6"/>
  <c r="I159" i="6"/>
  <c r="I163" i="6"/>
  <c r="I204" i="6"/>
  <c r="I208" i="6"/>
  <c r="I212" i="6"/>
  <c r="I253" i="6"/>
  <c r="I257" i="6"/>
  <c r="I261" i="6"/>
  <c r="I302" i="6"/>
  <c r="I306" i="6"/>
  <c r="I310" i="6"/>
  <c r="I17" i="6"/>
  <c r="I61" i="6"/>
  <c r="I31" i="6"/>
  <c r="I339" i="6"/>
  <c r="I343" i="6"/>
  <c r="I72" i="6"/>
  <c r="I76" i="6"/>
  <c r="I80" i="6"/>
  <c r="I121" i="6"/>
  <c r="I125" i="6"/>
  <c r="I129" i="6"/>
  <c r="I170" i="6"/>
  <c r="I174" i="6"/>
  <c r="I178" i="6"/>
  <c r="I219" i="6"/>
  <c r="I223" i="6"/>
  <c r="I264" i="6"/>
  <c r="I268" i="6"/>
  <c r="I272" i="6"/>
  <c r="I313" i="6"/>
  <c r="I317" i="6"/>
  <c r="I321" i="6"/>
  <c r="I28" i="6"/>
  <c r="I275" i="6"/>
  <c r="I263" i="6"/>
  <c r="I83" i="6"/>
  <c r="I311" i="6"/>
  <c r="I251" i="6"/>
  <c r="I167" i="6"/>
  <c r="I335" i="6"/>
  <c r="I71" i="6"/>
  <c r="I349" i="6"/>
  <c r="I353" i="6"/>
  <c r="I357" i="6"/>
  <c r="I86" i="6"/>
  <c r="I90" i="6"/>
  <c r="I94" i="6"/>
  <c r="I135" i="6"/>
  <c r="I139" i="6"/>
  <c r="I180" i="6"/>
  <c r="I184" i="6"/>
  <c r="I188" i="6"/>
  <c r="I229" i="6"/>
  <c r="I233" i="6"/>
  <c r="I237" i="6"/>
  <c r="I278" i="6"/>
  <c r="I282" i="6"/>
  <c r="I286" i="6"/>
  <c r="I327" i="6"/>
  <c r="I331" i="6"/>
  <c r="I36" i="6"/>
  <c r="I40" i="6"/>
  <c r="I44" i="6"/>
  <c r="I360" i="6"/>
  <c r="I364" i="6"/>
  <c r="I368" i="6"/>
  <c r="I97" i="6"/>
  <c r="I101" i="6"/>
  <c r="I105" i="6"/>
  <c r="I146" i="6"/>
  <c r="I150" i="6"/>
  <c r="I154" i="6"/>
  <c r="I195" i="6"/>
  <c r="I199" i="6"/>
  <c r="I240" i="6"/>
  <c r="I244" i="6"/>
  <c r="I248" i="6"/>
  <c r="I289" i="6"/>
  <c r="I293" i="6"/>
  <c r="I297" i="6"/>
  <c r="I49" i="6"/>
  <c r="I53" i="6"/>
  <c r="I57" i="6"/>
  <c r="I60" i="6"/>
  <c r="I27" i="6"/>
  <c r="I66" i="6"/>
  <c r="I70" i="6"/>
  <c r="I111" i="6"/>
  <c r="I115" i="6"/>
  <c r="I156" i="6"/>
  <c r="I160" i="6"/>
  <c r="I164" i="6"/>
  <c r="I205" i="6"/>
  <c r="I209" i="6"/>
  <c r="I213" i="6"/>
  <c r="I254" i="6"/>
  <c r="I258" i="6"/>
  <c r="I262" i="6"/>
  <c r="I303" i="6"/>
  <c r="I307" i="6"/>
  <c r="I14" i="6"/>
  <c r="I18" i="6"/>
  <c r="I63" i="6"/>
  <c r="I34" i="6"/>
  <c r="I340" i="6"/>
  <c r="I344" i="6"/>
  <c r="I73" i="6"/>
  <c r="I77" i="6"/>
  <c r="I81" i="6"/>
  <c r="I122" i="6"/>
  <c r="I126" i="6"/>
  <c r="I130" i="6"/>
  <c r="I171" i="6"/>
  <c r="I175" i="6"/>
  <c r="I216" i="6"/>
  <c r="I220" i="6"/>
  <c r="I224" i="6"/>
  <c r="I265" i="6"/>
  <c r="I269" i="6"/>
  <c r="I273" i="6"/>
  <c r="I314" i="6"/>
  <c r="I318" i="6"/>
  <c r="I322" i="6"/>
  <c r="I32" i="6"/>
  <c r="I558" i="10"/>
  <c r="G18" i="7"/>
  <c r="K558" i="10" s="1"/>
  <c r="H12" i="6"/>
  <c r="H13" i="6"/>
  <c r="H125" i="6"/>
  <c r="H34" i="6"/>
  <c r="H16" i="6"/>
  <c r="H41" i="6"/>
  <c r="H21" i="6"/>
  <c r="H289" i="6"/>
  <c r="H231" i="6"/>
  <c r="H183" i="6"/>
  <c r="H61" i="6"/>
  <c r="H46" i="6"/>
  <c r="H28" i="6"/>
  <c r="H313" i="6"/>
  <c r="H62" i="6"/>
  <c r="H43" i="6"/>
  <c r="H25" i="6"/>
  <c r="H303" i="6"/>
  <c r="H259" i="6"/>
  <c r="H273" i="6"/>
  <c r="H14" i="6"/>
  <c r="H327" i="6"/>
  <c r="H20" i="6"/>
  <c r="H58" i="6"/>
  <c r="H44" i="6"/>
  <c r="H293" i="6"/>
  <c r="H55" i="6"/>
  <c r="H37" i="6"/>
  <c r="H17" i="6"/>
  <c r="H283" i="6"/>
  <c r="H219" i="6"/>
  <c r="H340" i="6"/>
  <c r="H56" i="6"/>
  <c r="H42" i="6"/>
  <c r="H24" i="6"/>
  <c r="H307" i="6"/>
  <c r="H57" i="6"/>
  <c r="H39" i="6"/>
  <c r="H19" i="6"/>
  <c r="H364" i="6"/>
  <c r="H265" i="6"/>
  <c r="H297" i="6"/>
  <c r="H26" i="6"/>
  <c r="H54" i="6"/>
  <c r="H51" i="6"/>
  <c r="H31" i="6"/>
  <c r="H336" i="6"/>
  <c r="H255" i="6"/>
  <c r="H207" i="6"/>
  <c r="H52" i="6"/>
  <c r="H38" i="6"/>
  <c r="H22" i="6"/>
  <c r="H279" i="6"/>
  <c r="H53" i="6"/>
  <c r="H33" i="6"/>
  <c r="H15" i="6"/>
  <c r="H153" i="6"/>
  <c r="H91" i="6"/>
  <c r="H321" i="6"/>
  <c r="H36" i="6"/>
  <c r="H30" i="6"/>
  <c r="H50" i="6"/>
  <c r="H40" i="6"/>
  <c r="H45" i="6"/>
  <c r="H27" i="6"/>
  <c r="H317" i="6"/>
  <c r="H243" i="6"/>
  <c r="H195" i="6"/>
  <c r="H48" i="6"/>
  <c r="H32" i="6"/>
  <c r="H18" i="6"/>
  <c r="H269" i="6"/>
  <c r="H49" i="6"/>
  <c r="H29" i="6"/>
  <c r="H331" i="6"/>
  <c r="H159" i="6"/>
  <c r="H97" i="6"/>
  <c r="H330" i="6"/>
  <c r="H332" i="6"/>
  <c r="H300" i="6"/>
  <c r="H270" i="6"/>
  <c r="H225" i="6"/>
  <c r="H177" i="6"/>
  <c r="H328" i="6"/>
  <c r="H298" i="6"/>
  <c r="H266" i="6"/>
  <c r="H229" i="6"/>
  <c r="H181" i="6"/>
  <c r="H360" i="6"/>
  <c r="H329" i="6"/>
  <c r="H309" i="6"/>
  <c r="H291" i="6"/>
  <c r="H271" i="6"/>
  <c r="H247" i="6"/>
  <c r="H199" i="6"/>
  <c r="H139" i="6"/>
  <c r="H354" i="6"/>
  <c r="H316" i="6"/>
  <c r="H302" i="6"/>
  <c r="H286" i="6"/>
  <c r="H268" i="6"/>
  <c r="H245" i="6"/>
  <c r="H197" i="6"/>
  <c r="H135" i="6"/>
  <c r="H67" i="6"/>
  <c r="H323" i="6"/>
  <c r="H339" i="6"/>
  <c r="H357" i="6"/>
  <c r="H70" i="6"/>
  <c r="H86" i="6"/>
  <c r="H100" i="6"/>
  <c r="H118" i="6"/>
  <c r="H134" i="6"/>
  <c r="H148" i="6"/>
  <c r="H166" i="6"/>
  <c r="H182" i="6"/>
  <c r="H196" i="6"/>
  <c r="H214" i="6"/>
  <c r="H230" i="6"/>
  <c r="H244" i="6"/>
  <c r="H371" i="6"/>
  <c r="H348" i="6"/>
  <c r="H366" i="6"/>
  <c r="H75" i="6"/>
  <c r="H93" i="6"/>
  <c r="H113" i="6"/>
  <c r="H133" i="6"/>
  <c r="H151" i="6"/>
  <c r="H171" i="6"/>
  <c r="H337" i="6"/>
  <c r="H355" i="6"/>
  <c r="H68" i="6"/>
  <c r="H84" i="6"/>
  <c r="H102" i="6"/>
  <c r="H116" i="6"/>
  <c r="H132" i="6"/>
  <c r="H150" i="6"/>
  <c r="H164" i="6"/>
  <c r="H180" i="6"/>
  <c r="H198" i="6"/>
  <c r="H212" i="6"/>
  <c r="H228" i="6"/>
  <c r="H246" i="6"/>
  <c r="H335" i="6"/>
  <c r="H215" i="6"/>
  <c r="H191" i="6"/>
  <c r="H275" i="6"/>
  <c r="H251" i="6"/>
  <c r="H322" i="6"/>
  <c r="H294" i="6"/>
  <c r="H260" i="6"/>
  <c r="H217" i="6"/>
  <c r="H121" i="6"/>
  <c r="H324" i="6"/>
  <c r="H290" i="6"/>
  <c r="H256" i="6"/>
  <c r="H213" i="6"/>
  <c r="H149" i="6"/>
  <c r="H64" i="6"/>
  <c r="H325" i="6"/>
  <c r="H305" i="6"/>
  <c r="H285" i="6"/>
  <c r="H267" i="6"/>
  <c r="H235" i="6"/>
  <c r="H187" i="6"/>
  <c r="H111" i="6"/>
  <c r="H312" i="6"/>
  <c r="H296" i="6"/>
  <c r="H282" i="6"/>
  <c r="H264" i="6"/>
  <c r="H233" i="6"/>
  <c r="H185" i="6"/>
  <c r="H129" i="6"/>
  <c r="H368" i="6"/>
  <c r="H311" i="6"/>
  <c r="H343" i="6"/>
  <c r="H363" i="6"/>
  <c r="H72" i="6"/>
  <c r="H90" i="6"/>
  <c r="H104" i="6"/>
  <c r="H120" i="6"/>
  <c r="H138" i="6"/>
  <c r="H152" i="6"/>
  <c r="H168" i="6"/>
  <c r="H186" i="6"/>
  <c r="H200" i="6"/>
  <c r="H216" i="6"/>
  <c r="H234" i="6"/>
  <c r="H248" i="6"/>
  <c r="H338" i="6"/>
  <c r="H352" i="6"/>
  <c r="H370" i="6"/>
  <c r="H79" i="6"/>
  <c r="H99" i="6"/>
  <c r="H117" i="6"/>
  <c r="H137" i="6"/>
  <c r="H157" i="6"/>
  <c r="H175" i="6"/>
  <c r="H341" i="6"/>
  <c r="H361" i="6"/>
  <c r="H74" i="6"/>
  <c r="H88" i="6"/>
  <c r="H106" i="6"/>
  <c r="H122" i="6"/>
  <c r="H136" i="6"/>
  <c r="H154" i="6"/>
  <c r="H170" i="6"/>
  <c r="H184" i="6"/>
  <c r="H202" i="6"/>
  <c r="H218" i="6"/>
  <c r="H232" i="6"/>
  <c r="H250" i="6"/>
  <c r="H47" i="6"/>
  <c r="H203" i="6"/>
  <c r="H287" i="6"/>
  <c r="H239" i="6"/>
  <c r="H167" i="6"/>
  <c r="H131" i="6"/>
  <c r="H23" i="6"/>
  <c r="H143" i="6"/>
  <c r="H314" i="6"/>
  <c r="H284" i="6"/>
  <c r="H253" i="6"/>
  <c r="H201" i="6"/>
  <c r="H81" i="6"/>
  <c r="H318" i="6"/>
  <c r="H280" i="6"/>
  <c r="H249" i="6"/>
  <c r="H205" i="6"/>
  <c r="H115" i="6"/>
  <c r="H60" i="6"/>
  <c r="H319" i="6"/>
  <c r="H301" i="6"/>
  <c r="H281" i="6"/>
  <c r="H261" i="6"/>
  <c r="H223" i="6"/>
  <c r="H173" i="6"/>
  <c r="H105" i="6"/>
  <c r="H326" i="6"/>
  <c r="H310" i="6"/>
  <c r="H292" i="6"/>
  <c r="H278" i="6"/>
  <c r="H262" i="6"/>
  <c r="H221" i="6"/>
  <c r="H169" i="6"/>
  <c r="H101" i="6"/>
  <c r="H350" i="6"/>
  <c r="H59" i="6"/>
  <c r="H349" i="6"/>
  <c r="H367" i="6"/>
  <c r="H76" i="6"/>
  <c r="H94" i="6"/>
  <c r="H110" i="6"/>
  <c r="H124" i="6"/>
  <c r="H142" i="6"/>
  <c r="H158" i="6"/>
  <c r="H172" i="6"/>
  <c r="H190" i="6"/>
  <c r="H206" i="6"/>
  <c r="H220" i="6"/>
  <c r="H238" i="6"/>
  <c r="H254" i="6"/>
  <c r="H342" i="6"/>
  <c r="H356" i="6"/>
  <c r="H65" i="6"/>
  <c r="H85" i="6"/>
  <c r="H103" i="6"/>
  <c r="H123" i="6"/>
  <c r="H141" i="6"/>
  <c r="H161" i="6"/>
  <c r="H155" i="6"/>
  <c r="H345" i="6"/>
  <c r="H365" i="6"/>
  <c r="H78" i="6"/>
  <c r="H92" i="6"/>
  <c r="H108" i="6"/>
  <c r="H126" i="6"/>
  <c r="H140" i="6"/>
  <c r="H156" i="6"/>
  <c r="H174" i="6"/>
  <c r="H188" i="6"/>
  <c r="H204" i="6"/>
  <c r="H222" i="6"/>
  <c r="H236" i="6"/>
  <c r="H252" i="6"/>
  <c r="H35" i="6"/>
  <c r="H179" i="6"/>
  <c r="H227" i="6"/>
  <c r="H119" i="6"/>
  <c r="H83" i="6"/>
  <c r="H334" i="6"/>
  <c r="H63" i="6"/>
  <c r="H304" i="6"/>
  <c r="H276" i="6"/>
  <c r="H237" i="6"/>
  <c r="H193" i="6"/>
  <c r="H358" i="6"/>
  <c r="H308" i="6"/>
  <c r="H274" i="6"/>
  <c r="H241" i="6"/>
  <c r="H189" i="6"/>
  <c r="H87" i="6"/>
  <c r="H333" i="6"/>
  <c r="H315" i="6"/>
  <c r="H295" i="6"/>
  <c r="H277" i="6"/>
  <c r="H257" i="6"/>
  <c r="H211" i="6"/>
  <c r="H145" i="6"/>
  <c r="H77" i="6"/>
  <c r="H320" i="6"/>
  <c r="H306" i="6"/>
  <c r="H288" i="6"/>
  <c r="H272" i="6"/>
  <c r="H258" i="6"/>
  <c r="H209" i="6"/>
  <c r="H163" i="6"/>
  <c r="H73" i="6"/>
  <c r="H344" i="6"/>
  <c r="H299" i="6"/>
  <c r="H353" i="6"/>
  <c r="H66" i="6"/>
  <c r="H80" i="6"/>
  <c r="H96" i="6"/>
  <c r="H114" i="6"/>
  <c r="H128" i="6"/>
  <c r="H144" i="6"/>
  <c r="H162" i="6"/>
  <c r="H176" i="6"/>
  <c r="H192" i="6"/>
  <c r="H210" i="6"/>
  <c r="H224" i="6"/>
  <c r="H240" i="6"/>
  <c r="H107" i="6"/>
  <c r="H346" i="6"/>
  <c r="H362" i="6"/>
  <c r="H69" i="6"/>
  <c r="H89" i="6"/>
  <c r="H109" i="6"/>
  <c r="H127" i="6"/>
  <c r="H147" i="6"/>
  <c r="H165" i="6"/>
  <c r="H347" i="6"/>
  <c r="H351" i="6"/>
  <c r="H369" i="6"/>
  <c r="H82" i="6"/>
  <c r="H98" i="6"/>
  <c r="H112" i="6"/>
  <c r="H130" i="6"/>
  <c r="H146" i="6"/>
  <c r="H160" i="6"/>
  <c r="H178" i="6"/>
  <c r="H194" i="6"/>
  <c r="H208" i="6"/>
  <c r="H226" i="6"/>
  <c r="H242" i="6"/>
  <c r="H359" i="6"/>
  <c r="H263" i="6"/>
  <c r="H71" i="6"/>
  <c r="H95" i="6"/>
  <c r="G37" i="7"/>
  <c r="K577" i="10" s="1"/>
  <c r="I581" i="10"/>
  <c r="G41" i="7"/>
  <c r="K581" i="10" s="1"/>
  <c r="I580" i="10"/>
  <c r="G40" i="7"/>
  <c r="K580" i="10" s="1"/>
  <c r="I29" i="7" l="1"/>
  <c r="I37" i="9" s="1"/>
  <c r="I25" i="7"/>
  <c r="E37" i="9" s="1"/>
  <c r="F52" i="5"/>
  <c r="O46" i="5"/>
  <c r="AQ36" i="9"/>
  <c r="AQ37" i="9"/>
  <c r="AQ38" i="9"/>
  <c r="AE36" i="9"/>
  <c r="AE37" i="9"/>
  <c r="AE38" i="9"/>
  <c r="G14" i="7"/>
  <c r="K554" i="10" s="1"/>
  <c r="J191" i="5"/>
  <c r="M649" i="10"/>
  <c r="J194" i="5"/>
  <c r="M652" i="10"/>
  <c r="I179" i="5"/>
  <c r="L637" i="10"/>
  <c r="J181" i="5"/>
  <c r="M639" i="10"/>
  <c r="J186" i="5"/>
  <c r="M644" i="10"/>
  <c r="I188" i="5"/>
  <c r="L646" i="10"/>
  <c r="I190" i="5"/>
  <c r="L648" i="10"/>
  <c r="I189" i="5"/>
  <c r="L647" i="10"/>
  <c r="I182" i="5"/>
  <c r="L640" i="10"/>
  <c r="I185" i="5"/>
  <c r="L643" i="10"/>
  <c r="J192" i="5"/>
  <c r="M650" i="10"/>
  <c r="I184" i="5"/>
  <c r="L642" i="10"/>
  <c r="J187" i="5"/>
  <c r="M645" i="10"/>
  <c r="J180" i="5"/>
  <c r="M638" i="10"/>
  <c r="I183" i="5"/>
  <c r="L641" i="10"/>
  <c r="I193" i="5"/>
  <c r="L651" i="10"/>
  <c r="AH17" i="9"/>
  <c r="E106" i="5"/>
  <c r="E109" i="5" s="1"/>
  <c r="I34" i="9"/>
  <c r="AM19" i="9" s="1"/>
  <c r="AM33" i="9" s="1"/>
  <c r="F48" i="9"/>
  <c r="F49" i="9" s="1"/>
  <c r="AX17" i="9"/>
  <c r="K48" i="9"/>
  <c r="AY19" i="9" s="1"/>
  <c r="AY33" i="9" s="1"/>
  <c r="J17" i="9"/>
  <c r="AD19" i="9" s="1"/>
  <c r="AD33" i="9" s="1"/>
  <c r="Y17" i="9"/>
  <c r="AJ17" i="9"/>
  <c r="AE17" i="9"/>
  <c r="D106" i="5"/>
  <c r="H347" i="10" s="1"/>
  <c r="G106" i="5"/>
  <c r="G109" i="5" s="1"/>
  <c r="AJ19" i="9"/>
  <c r="AJ33" i="9" s="1"/>
  <c r="J106" i="5"/>
  <c r="N347" i="10" s="1"/>
  <c r="F106" i="5"/>
  <c r="F109" i="5" s="1"/>
  <c r="C49" i="9"/>
  <c r="K19" i="9"/>
  <c r="C106" i="5"/>
  <c r="C109" i="5" s="1"/>
  <c r="M627" i="10"/>
  <c r="M619" i="10"/>
  <c r="M622" i="10"/>
  <c r="M620" i="10"/>
  <c r="M623" i="10"/>
  <c r="M628" i="10"/>
  <c r="M621" i="10"/>
  <c r="M618" i="10"/>
  <c r="M626" i="10"/>
  <c r="M617" i="10"/>
  <c r="I42" i="7"/>
  <c r="M582" i="10" s="1"/>
  <c r="M624" i="10"/>
  <c r="M615" i="10"/>
  <c r="M616" i="10"/>
  <c r="M614" i="10"/>
  <c r="M625" i="10"/>
  <c r="L106" i="5"/>
  <c r="P349" i="10"/>
  <c r="I106" i="5"/>
  <c r="M349" i="10"/>
  <c r="K106" i="5"/>
  <c r="O349" i="10"/>
  <c r="H106" i="5"/>
  <c r="L349" i="10"/>
  <c r="I17" i="9"/>
  <c r="AC19" i="9" s="1"/>
  <c r="AC33" i="9" s="1"/>
  <c r="AG17" i="9"/>
  <c r="F17" i="9"/>
  <c r="F19" i="9" s="1"/>
  <c r="AO17" i="9"/>
  <c r="AR17" i="9"/>
  <c r="L34" i="9"/>
  <c r="AP19" i="9" s="1"/>
  <c r="AP33" i="9" s="1"/>
  <c r="G48" i="9"/>
  <c r="AU19" i="9" s="1"/>
  <c r="AU33" i="9" s="1"/>
  <c r="H34" i="9"/>
  <c r="AL19" i="9" s="1"/>
  <c r="AL33" i="9" s="1"/>
  <c r="E48" i="9"/>
  <c r="AS19" i="9" s="1"/>
  <c r="AS33" i="9" s="1"/>
  <c r="H48" i="9"/>
  <c r="AV19" i="9" s="1"/>
  <c r="AV33" i="9" s="1"/>
  <c r="I33" i="7"/>
  <c r="C51" i="9" s="1"/>
  <c r="L17" i="9"/>
  <c r="AF19" i="9" s="1"/>
  <c r="AF33" i="9" s="1"/>
  <c r="G17" i="9"/>
  <c r="AA19" i="9" s="1"/>
  <c r="AA33" i="9" s="1"/>
  <c r="J34" i="9"/>
  <c r="J35" i="9" s="1"/>
  <c r="X17" i="9"/>
  <c r="AQ17" i="9"/>
  <c r="G34" i="9"/>
  <c r="G35" i="9" s="1"/>
  <c r="AB17" i="9"/>
  <c r="W17" i="9"/>
  <c r="E34" i="9"/>
  <c r="AI19" i="9" s="1"/>
  <c r="AI33" i="9" s="1"/>
  <c r="X19" i="9"/>
  <c r="X33" i="9" s="1"/>
  <c r="I48" i="9"/>
  <c r="AW19" i="9" s="1"/>
  <c r="AW33" i="9" s="1"/>
  <c r="L48" i="9"/>
  <c r="AZ19" i="9" s="1"/>
  <c r="AZ33" i="9" s="1"/>
  <c r="G13" i="7"/>
  <c r="K553" i="10" s="1"/>
  <c r="G16" i="7"/>
  <c r="K556" i="10" s="1"/>
  <c r="G27" i="7"/>
  <c r="K567" i="10" s="1"/>
  <c r="I23" i="7"/>
  <c r="C37" i="9" s="1"/>
  <c r="G32" i="7"/>
  <c r="K572" i="10" s="1"/>
  <c r="I19" i="7"/>
  <c r="I21" i="9" s="1"/>
  <c r="G15" i="7"/>
  <c r="K555" i="10" s="1"/>
  <c r="G17" i="7"/>
  <c r="K557" i="10" s="1"/>
  <c r="G22" i="7"/>
  <c r="K562" i="10" s="1"/>
  <c r="I26" i="7"/>
  <c r="F37" i="9" s="1"/>
  <c r="I39" i="7"/>
  <c r="I51" i="9" s="1"/>
  <c r="I20" i="7"/>
  <c r="J21" i="9" s="1"/>
  <c r="I30" i="7"/>
  <c r="J37" i="9" s="1"/>
  <c r="I36" i="7"/>
  <c r="I31" i="7"/>
  <c r="K37" i="9" s="1"/>
  <c r="I14" i="7"/>
  <c r="D113" i="5" s="1"/>
  <c r="H356" i="10" s="1"/>
  <c r="I38" i="7"/>
  <c r="I35" i="7"/>
  <c r="AH19" i="9"/>
  <c r="AH33" i="9" s="1"/>
  <c r="D35" i="9"/>
  <c r="I41" i="7"/>
  <c r="K51" i="9" s="1"/>
  <c r="W19" i="9"/>
  <c r="W33" i="9" s="1"/>
  <c r="C19" i="9"/>
  <c r="E19" i="9"/>
  <c r="Y19" i="9"/>
  <c r="Y33" i="9" s="1"/>
  <c r="AG19" i="9"/>
  <c r="AG33" i="9" s="1"/>
  <c r="C35" i="9"/>
  <c r="I37" i="7"/>
  <c r="M561" i="10"/>
  <c r="M564" i="10"/>
  <c r="K35" i="9"/>
  <c r="AO19" i="9"/>
  <c r="AO33" i="9" s="1"/>
  <c r="K23" i="6"/>
  <c r="D24" i="6" s="1"/>
  <c r="K24" i="6" s="1"/>
  <c r="D25" i="6" s="1"/>
  <c r="K25" i="6" s="1"/>
  <c r="D26" i="6" s="1"/>
  <c r="K26" i="6" s="1"/>
  <c r="D27" i="6" s="1"/>
  <c r="K27" i="6" s="1"/>
  <c r="D28" i="6" s="1"/>
  <c r="K28" i="6" s="1"/>
  <c r="D29" i="6" s="1"/>
  <c r="K29" i="6" s="1"/>
  <c r="D30" i="6" s="1"/>
  <c r="K30" i="6" s="1"/>
  <c r="D31" i="6" s="1"/>
  <c r="K31" i="6" s="1"/>
  <c r="D32" i="6" s="1"/>
  <c r="K32" i="6" s="1"/>
  <c r="D33" i="6" s="1"/>
  <c r="K33" i="6" s="1"/>
  <c r="D34" i="6" s="1"/>
  <c r="K34" i="6" s="1"/>
  <c r="D35" i="6" s="1"/>
  <c r="D13" i="7"/>
  <c r="I18" i="7"/>
  <c r="H21" i="9" s="1"/>
  <c r="I40" i="7"/>
  <c r="J51" i="9" s="1"/>
  <c r="K574" i="10"/>
  <c r="I34" i="7"/>
  <c r="D51" i="9" s="1"/>
  <c r="J49" i="9"/>
  <c r="AX19" i="9"/>
  <c r="AX33" i="9" s="1"/>
  <c r="M565" i="10"/>
  <c r="M568" i="10"/>
  <c r="M569" i="10"/>
  <c r="AR19" i="9"/>
  <c r="AR33" i="9" s="1"/>
  <c r="D49" i="9"/>
  <c r="H19" i="9"/>
  <c r="AB19" i="9"/>
  <c r="AB33" i="9" s="1"/>
  <c r="L113" i="5" l="1"/>
  <c r="P356" i="10" s="1"/>
  <c r="L51" i="9"/>
  <c r="L52" i="9" s="1"/>
  <c r="AZ26" i="9" s="1"/>
  <c r="AT19" i="9"/>
  <c r="AT33" i="9" s="1"/>
  <c r="AT38" i="9" s="1"/>
  <c r="Y36" i="9"/>
  <c r="Y37" i="9"/>
  <c r="E153" i="5" s="1"/>
  <c r="Y38" i="9"/>
  <c r="E154" i="5" s="1"/>
  <c r="AV36" i="9"/>
  <c r="AV37" i="9"/>
  <c r="AV38" i="9"/>
  <c r="AX36" i="9"/>
  <c r="AX37" i="9"/>
  <c r="AX38" i="9"/>
  <c r="AZ36" i="9"/>
  <c r="AZ37" i="9"/>
  <c r="L153" i="5" s="1"/>
  <c r="AZ38" i="9"/>
  <c r="L154" i="5" s="1"/>
  <c r="AS36" i="9"/>
  <c r="AS38" i="9"/>
  <c r="AS37" i="9"/>
  <c r="AC36" i="9"/>
  <c r="AC37" i="9"/>
  <c r="AC38" i="9"/>
  <c r="AM36" i="9"/>
  <c r="AM38" i="9"/>
  <c r="AM37" i="9"/>
  <c r="AW36" i="9"/>
  <c r="AW37" i="9"/>
  <c r="AW38" i="9"/>
  <c r="AL36" i="9"/>
  <c r="AL37" i="9"/>
  <c r="AL38" i="9"/>
  <c r="W36" i="9"/>
  <c r="W59" i="9" s="1"/>
  <c r="W60" i="9" s="1"/>
  <c r="W38" i="9"/>
  <c r="C178" i="5" s="1"/>
  <c r="W37" i="9"/>
  <c r="X36" i="9"/>
  <c r="D152" i="5" s="1"/>
  <c r="X37" i="9"/>
  <c r="X38" i="9"/>
  <c r="D154" i="5" s="1"/>
  <c r="AU36" i="9"/>
  <c r="AU38" i="9"/>
  <c r="K154" i="5" s="1"/>
  <c r="AU37" i="9"/>
  <c r="K153" i="5" s="1"/>
  <c r="AB36" i="9"/>
  <c r="AB38" i="9"/>
  <c r="AB37" i="9"/>
  <c r="AO36" i="9"/>
  <c r="AO38" i="9"/>
  <c r="AO37" i="9"/>
  <c r="AI36" i="9"/>
  <c r="AI37" i="9"/>
  <c r="AI38" i="9"/>
  <c r="AP36" i="9"/>
  <c r="AP38" i="9"/>
  <c r="J154" i="5" s="1"/>
  <c r="AP37" i="9"/>
  <c r="J153" i="5" s="1"/>
  <c r="AJ36" i="9"/>
  <c r="AJ38" i="9"/>
  <c r="AJ37" i="9"/>
  <c r="AA36" i="9"/>
  <c r="AA38" i="9"/>
  <c r="G154" i="5" s="1"/>
  <c r="AA37" i="9"/>
  <c r="G153" i="5" s="1"/>
  <c r="AD36" i="9"/>
  <c r="AD38" i="9"/>
  <c r="AD37" i="9"/>
  <c r="AG36" i="9"/>
  <c r="AG37" i="9"/>
  <c r="AG38" i="9"/>
  <c r="AT36" i="9"/>
  <c r="AR36" i="9"/>
  <c r="AR38" i="9"/>
  <c r="AR37" i="9"/>
  <c r="AH36" i="9"/>
  <c r="AH38" i="9"/>
  <c r="AH37" i="9"/>
  <c r="AF36" i="9"/>
  <c r="AF38" i="9"/>
  <c r="H154" i="5" s="1"/>
  <c r="AF37" i="9"/>
  <c r="H153" i="5" s="1"/>
  <c r="AY36" i="9"/>
  <c r="AY37" i="9"/>
  <c r="AY38" i="9"/>
  <c r="M573" i="10"/>
  <c r="I35" i="9"/>
  <c r="M563" i="10"/>
  <c r="AE35" i="9"/>
  <c r="AE55" i="9" s="1"/>
  <c r="AQ35" i="9"/>
  <c r="AQ55" i="9" s="1"/>
  <c r="I347" i="10"/>
  <c r="K49" i="9"/>
  <c r="J193" i="5"/>
  <c r="M651" i="10"/>
  <c r="K192" i="5"/>
  <c r="N650" i="10"/>
  <c r="J190" i="5"/>
  <c r="M648" i="10"/>
  <c r="J179" i="5"/>
  <c r="M637" i="10"/>
  <c r="K180" i="5"/>
  <c r="N638" i="10"/>
  <c r="K187" i="5"/>
  <c r="N645" i="10"/>
  <c r="J182" i="5"/>
  <c r="M640" i="10"/>
  <c r="K186" i="5"/>
  <c r="N644" i="10"/>
  <c r="J183" i="5"/>
  <c r="M641" i="10"/>
  <c r="J184" i="5"/>
  <c r="M642" i="10"/>
  <c r="J185" i="5"/>
  <c r="M643" i="10"/>
  <c r="J189" i="5"/>
  <c r="M647" i="10"/>
  <c r="J188" i="5"/>
  <c r="M646" i="10"/>
  <c r="K181" i="5"/>
  <c r="N639" i="10"/>
  <c r="K194" i="5"/>
  <c r="N652" i="10"/>
  <c r="K191" i="5"/>
  <c r="N649" i="10"/>
  <c r="K347" i="10"/>
  <c r="J347" i="10"/>
  <c r="J109" i="5"/>
  <c r="N350" i="10" s="1"/>
  <c r="G347" i="10"/>
  <c r="J19" i="9"/>
  <c r="L155" i="5"/>
  <c r="G155" i="5"/>
  <c r="H155" i="5"/>
  <c r="E155" i="5"/>
  <c r="D155" i="5"/>
  <c r="K155" i="5"/>
  <c r="D109" i="5"/>
  <c r="D111" i="5" s="1"/>
  <c r="H352" i="10" s="1"/>
  <c r="J155" i="5"/>
  <c r="I19" i="9"/>
  <c r="I17" i="7"/>
  <c r="G113" i="5" s="1"/>
  <c r="K356" i="10" s="1"/>
  <c r="N617" i="10"/>
  <c r="N628" i="10"/>
  <c r="N622" i="10"/>
  <c r="N614" i="10"/>
  <c r="N624" i="10"/>
  <c r="N625" i="10"/>
  <c r="N618" i="10"/>
  <c r="N623" i="10"/>
  <c r="N619" i="10"/>
  <c r="N616" i="10"/>
  <c r="N627" i="10"/>
  <c r="N615" i="10"/>
  <c r="I22" i="7"/>
  <c r="M562" i="10" s="1"/>
  <c r="N626" i="10"/>
  <c r="N621" i="10"/>
  <c r="N620" i="10"/>
  <c r="H109" i="5"/>
  <c r="L347" i="10"/>
  <c r="F111" i="5"/>
  <c r="J352" i="10" s="1"/>
  <c r="J350" i="10"/>
  <c r="F149" i="5"/>
  <c r="G111" i="5"/>
  <c r="K352" i="10" s="1"/>
  <c r="G149" i="5"/>
  <c r="K350" i="10"/>
  <c r="C111" i="5"/>
  <c r="G352" i="10" s="1"/>
  <c r="C149" i="5"/>
  <c r="G350" i="10"/>
  <c r="L114" i="5"/>
  <c r="P357" i="10" s="1"/>
  <c r="I16" i="7"/>
  <c r="M556" i="10" s="1"/>
  <c r="K109" i="5"/>
  <c r="O347" i="10"/>
  <c r="I109" i="5"/>
  <c r="M347" i="10"/>
  <c r="L109" i="5"/>
  <c r="P347" i="10"/>
  <c r="E111" i="5"/>
  <c r="I352" i="10" s="1"/>
  <c r="E149" i="5"/>
  <c r="I350" i="10"/>
  <c r="Z19" i="9"/>
  <c r="Z33" i="9" s="1"/>
  <c r="G49" i="9"/>
  <c r="E35" i="9"/>
  <c r="L35" i="9"/>
  <c r="G19" i="9"/>
  <c r="L19" i="9"/>
  <c r="H35" i="9"/>
  <c r="E49" i="9"/>
  <c r="AK19" i="9"/>
  <c r="AK33" i="9" s="1"/>
  <c r="AN19" i="9"/>
  <c r="AN33" i="9" s="1"/>
  <c r="H49" i="9"/>
  <c r="L49" i="9"/>
  <c r="G51" i="9"/>
  <c r="K113" i="5"/>
  <c r="I49" i="9"/>
  <c r="I13" i="7"/>
  <c r="M553" i="10" s="1"/>
  <c r="I27" i="7"/>
  <c r="I113" i="5" s="1"/>
  <c r="I15" i="7"/>
  <c r="E21" i="9" s="1"/>
  <c r="M559" i="10"/>
  <c r="I32" i="7"/>
  <c r="M560" i="10"/>
  <c r="M571" i="10"/>
  <c r="M566" i="10"/>
  <c r="M576" i="10"/>
  <c r="F51" i="9"/>
  <c r="F52" i="9" s="1"/>
  <c r="AT26" i="9" s="1"/>
  <c r="M575" i="10"/>
  <c r="E51" i="9"/>
  <c r="AS27" i="9" s="1"/>
  <c r="D114" i="5"/>
  <c r="H357" i="10" s="1"/>
  <c r="D21" i="9"/>
  <c r="D24" i="9" s="1"/>
  <c r="D25" i="9" s="1"/>
  <c r="M578" i="10"/>
  <c r="H51" i="9"/>
  <c r="H53" i="9" s="1"/>
  <c r="H54" i="9" s="1"/>
  <c r="M570" i="10"/>
  <c r="M554" i="10"/>
  <c r="M579" i="10"/>
  <c r="F13" i="7"/>
  <c r="H553" i="10"/>
  <c r="AG27" i="9"/>
  <c r="C38" i="9"/>
  <c r="AG26" i="9" s="1"/>
  <c r="C39" i="9"/>
  <c r="C40" i="9" s="1"/>
  <c r="AE27" i="9"/>
  <c r="K22" i="9"/>
  <c r="AE26" i="9" s="1"/>
  <c r="K24" i="9"/>
  <c r="K25" i="9" s="1"/>
  <c r="AI27" i="9"/>
  <c r="E39" i="9"/>
  <c r="E40" i="9" s="1"/>
  <c r="E38" i="9"/>
  <c r="AI26" i="9" s="1"/>
  <c r="I22" i="9"/>
  <c r="AC26" i="9" s="1"/>
  <c r="AC27" i="9"/>
  <c r="I24" i="9"/>
  <c r="I25" i="9" s="1"/>
  <c r="M558" i="10"/>
  <c r="D14" i="7"/>
  <c r="K35" i="6"/>
  <c r="M581" i="10"/>
  <c r="H38" i="9"/>
  <c r="AL26" i="9" s="1"/>
  <c r="AL27" i="9"/>
  <c r="H39" i="9"/>
  <c r="H40" i="9" s="1"/>
  <c r="AW27" i="9"/>
  <c r="I52" i="9"/>
  <c r="AW26" i="9" s="1"/>
  <c r="I53" i="9"/>
  <c r="I54" i="9" s="1"/>
  <c r="D38" i="9"/>
  <c r="AH26" i="9" s="1"/>
  <c r="AH27" i="9"/>
  <c r="D39" i="9"/>
  <c r="D40" i="9" s="1"/>
  <c r="M577" i="10"/>
  <c r="J38" i="9"/>
  <c r="AN26" i="9" s="1"/>
  <c r="AN27" i="9"/>
  <c r="J39" i="9"/>
  <c r="J40" i="9" s="1"/>
  <c r="AM27" i="9"/>
  <c r="I39" i="9"/>
  <c r="I40" i="9" s="1"/>
  <c r="I38" i="9"/>
  <c r="AM26" i="9" s="1"/>
  <c r="AO27" i="9"/>
  <c r="K38" i="9"/>
  <c r="AO26" i="9" s="1"/>
  <c r="K39" i="9"/>
  <c r="K40" i="9" s="1"/>
  <c r="C52" i="9"/>
  <c r="AQ26" i="9" s="1"/>
  <c r="AQ27" i="9"/>
  <c r="C53" i="9"/>
  <c r="C54" i="9" s="1"/>
  <c r="M574" i="10"/>
  <c r="M580" i="10"/>
  <c r="AD27" i="9"/>
  <c r="J22" i="9"/>
  <c r="AD26" i="9" s="1"/>
  <c r="J24" i="9"/>
  <c r="J25" i="9" s="1"/>
  <c r="F38" i="9"/>
  <c r="AJ26" i="9" s="1"/>
  <c r="AJ27" i="9"/>
  <c r="F39" i="9"/>
  <c r="F40" i="9" s="1"/>
  <c r="AW35" i="9" l="1"/>
  <c r="AS35" i="9"/>
  <c r="AC35" i="9"/>
  <c r="AT37" i="9"/>
  <c r="AO35" i="9"/>
  <c r="AO55" i="9" s="1"/>
  <c r="AG35" i="9"/>
  <c r="AG55" i="9" s="1"/>
  <c r="AZ27" i="9"/>
  <c r="L53" i="9"/>
  <c r="L54" i="9" s="1"/>
  <c r="G21" i="9"/>
  <c r="G22" i="9" s="1"/>
  <c r="AA26" i="9" s="1"/>
  <c r="AK36" i="9"/>
  <c r="AK38" i="9"/>
  <c r="I154" i="5" s="1"/>
  <c r="AK37" i="9"/>
  <c r="I153" i="5" s="1"/>
  <c r="D178" i="5"/>
  <c r="G636" i="10"/>
  <c r="X59" i="9"/>
  <c r="X60" i="9" s="1"/>
  <c r="Z36" i="9"/>
  <c r="Z38" i="9"/>
  <c r="F154" i="5" s="1"/>
  <c r="Z37" i="9"/>
  <c r="F153" i="5" s="1"/>
  <c r="AN36" i="9"/>
  <c r="AN37" i="9"/>
  <c r="AN38" i="9"/>
  <c r="J111" i="5"/>
  <c r="N352" i="10" s="1"/>
  <c r="G114" i="5"/>
  <c r="K357" i="10" s="1"/>
  <c r="M557" i="10"/>
  <c r="X35" i="9"/>
  <c r="D151" i="5" s="1"/>
  <c r="AJ35" i="9"/>
  <c r="AJ55" i="9" s="1"/>
  <c r="AY35" i="9"/>
  <c r="AY55" i="9" s="1"/>
  <c r="AB35" i="9"/>
  <c r="AB55" i="9" s="1"/>
  <c r="L152" i="5"/>
  <c r="AZ35" i="9"/>
  <c r="AZ55" i="9" s="1"/>
  <c r="AV35" i="9"/>
  <c r="AV55" i="9" s="1"/>
  <c r="E152" i="5"/>
  <c r="Y35" i="9"/>
  <c r="E151" i="5" s="1"/>
  <c r="AL35" i="9"/>
  <c r="AL55" i="9" s="1"/>
  <c r="AM35" i="9"/>
  <c r="AM55" i="9" s="1"/>
  <c r="AT35" i="9"/>
  <c r="AT55" i="9" s="1"/>
  <c r="K152" i="5"/>
  <c r="AU35" i="9"/>
  <c r="K151" i="5" s="1"/>
  <c r="AD35" i="9"/>
  <c r="AD55" i="9" s="1"/>
  <c r="H152" i="5"/>
  <c r="AF35" i="9"/>
  <c r="H151" i="5" s="1"/>
  <c r="AX35" i="9"/>
  <c r="AX55" i="9" s="1"/>
  <c r="G152" i="5"/>
  <c r="AA35" i="9"/>
  <c r="G151" i="5" s="1"/>
  <c r="AH35" i="9"/>
  <c r="AH55" i="9" s="1"/>
  <c r="AR35" i="9"/>
  <c r="AR55" i="9" s="1"/>
  <c r="J152" i="5"/>
  <c r="AP35" i="9"/>
  <c r="J151" i="5" s="1"/>
  <c r="AI35" i="9"/>
  <c r="AI55" i="9" s="1"/>
  <c r="W35" i="9"/>
  <c r="AC55" i="9"/>
  <c r="D153" i="5"/>
  <c r="G37" i="9"/>
  <c r="AK27" i="9" s="1"/>
  <c r="L191" i="5"/>
  <c r="P649" i="10" s="1"/>
  <c r="O649" i="10"/>
  <c r="L181" i="5"/>
  <c r="P639" i="10" s="1"/>
  <c r="O639" i="10"/>
  <c r="K189" i="5"/>
  <c r="N647" i="10"/>
  <c r="K184" i="5"/>
  <c r="N642" i="10"/>
  <c r="K183" i="5"/>
  <c r="N641" i="10"/>
  <c r="L186" i="5"/>
  <c r="P644" i="10" s="1"/>
  <c r="O644" i="10"/>
  <c r="L187" i="5"/>
  <c r="P645" i="10" s="1"/>
  <c r="O645" i="10"/>
  <c r="K179" i="5"/>
  <c r="N637" i="10"/>
  <c r="L192" i="5"/>
  <c r="P650" i="10" s="1"/>
  <c r="O650" i="10"/>
  <c r="L194" i="5"/>
  <c r="P652" i="10" s="1"/>
  <c r="O652" i="10"/>
  <c r="K188" i="5"/>
  <c r="N646" i="10"/>
  <c r="K185" i="5"/>
  <c r="N643" i="10"/>
  <c r="K182" i="5"/>
  <c r="N640" i="10"/>
  <c r="L180" i="5"/>
  <c r="P638" i="10" s="1"/>
  <c r="O638" i="10"/>
  <c r="K190" i="5"/>
  <c r="N648" i="10"/>
  <c r="K193" i="5"/>
  <c r="N651" i="10"/>
  <c r="C177" i="5"/>
  <c r="C176" i="5"/>
  <c r="AS55" i="9"/>
  <c r="J149" i="5"/>
  <c r="N607" i="10" s="1"/>
  <c r="N631" i="10" s="1"/>
  <c r="N665" i="10" s="1"/>
  <c r="AW55" i="9"/>
  <c r="H350" i="10"/>
  <c r="G116" i="5"/>
  <c r="G117" i="5" s="1"/>
  <c r="K360" i="10" s="1"/>
  <c r="D149" i="5"/>
  <c r="H607" i="10" s="1"/>
  <c r="H631" i="10" s="1"/>
  <c r="H665" i="10" s="1"/>
  <c r="C154" i="5"/>
  <c r="C155" i="5"/>
  <c r="I155" i="5"/>
  <c r="F155" i="5"/>
  <c r="C153" i="5"/>
  <c r="C152" i="5"/>
  <c r="P616" i="10"/>
  <c r="O616" i="10"/>
  <c r="P620" i="10"/>
  <c r="O620" i="10"/>
  <c r="P624" i="10"/>
  <c r="O624" i="10"/>
  <c r="P615" i="10"/>
  <c r="O615" i="10"/>
  <c r="P619" i="10"/>
  <c r="O619" i="10"/>
  <c r="P614" i="10"/>
  <c r="O614" i="10"/>
  <c r="P628" i="10"/>
  <c r="O628" i="10"/>
  <c r="M555" i="10"/>
  <c r="C173" i="5"/>
  <c r="G607" i="10"/>
  <c r="G631" i="10" s="1"/>
  <c r="G665" i="10" s="1"/>
  <c r="P621" i="10"/>
  <c r="O621" i="10"/>
  <c r="P627" i="10"/>
  <c r="O627" i="10"/>
  <c r="P625" i="10"/>
  <c r="O625" i="10"/>
  <c r="P617" i="10"/>
  <c r="O617" i="10"/>
  <c r="F113" i="5"/>
  <c r="F114" i="5" s="1"/>
  <c r="J357" i="10" s="1"/>
  <c r="E173" i="5"/>
  <c r="I607" i="10"/>
  <c r="I631" i="10" s="1"/>
  <c r="I665" i="10" s="1"/>
  <c r="P626" i="10"/>
  <c r="O626" i="10"/>
  <c r="J607" i="10"/>
  <c r="J631" i="10" s="1"/>
  <c r="J665" i="10" s="1"/>
  <c r="F173" i="5"/>
  <c r="P618" i="10"/>
  <c r="O618" i="10"/>
  <c r="K607" i="10"/>
  <c r="K631" i="10" s="1"/>
  <c r="K665" i="10" s="1"/>
  <c r="G173" i="5"/>
  <c r="H113" i="5"/>
  <c r="L21" i="9"/>
  <c r="P623" i="10"/>
  <c r="O623" i="10"/>
  <c r="P622" i="10"/>
  <c r="O622" i="10"/>
  <c r="K114" i="5"/>
  <c r="O357" i="10" s="1"/>
  <c r="O356" i="10"/>
  <c r="I111" i="5"/>
  <c r="M352" i="10" s="1"/>
  <c r="I149" i="5"/>
  <c r="M350" i="10"/>
  <c r="L111" i="5"/>
  <c r="P352" i="10" s="1"/>
  <c r="L149" i="5"/>
  <c r="P350" i="10"/>
  <c r="K111" i="5"/>
  <c r="O352" i="10" s="1"/>
  <c r="K149" i="5"/>
  <c r="O350" i="10"/>
  <c r="H111" i="5"/>
  <c r="L352" i="10" s="1"/>
  <c r="H149" i="5"/>
  <c r="L350" i="10"/>
  <c r="I114" i="5"/>
  <c r="M357" i="10" s="1"/>
  <c r="M356" i="10"/>
  <c r="F21" i="9"/>
  <c r="F22" i="9" s="1"/>
  <c r="Z26" i="9" s="1"/>
  <c r="K13" i="7"/>
  <c r="O553" i="10" s="1"/>
  <c r="M567" i="10"/>
  <c r="E24" i="9"/>
  <c r="E25" i="9" s="1"/>
  <c r="Y27" i="9"/>
  <c r="E22" i="9"/>
  <c r="Y26" i="9" s="1"/>
  <c r="E113" i="5"/>
  <c r="E116" i="5" s="1"/>
  <c r="C113" i="5"/>
  <c r="G356" i="10" s="1"/>
  <c r="C21" i="9"/>
  <c r="X27" i="9"/>
  <c r="M572" i="10"/>
  <c r="L37" i="9"/>
  <c r="J113" i="5"/>
  <c r="D22" i="9"/>
  <c r="X26" i="9" s="1"/>
  <c r="D116" i="5"/>
  <c r="AT27" i="9"/>
  <c r="H52" i="9"/>
  <c r="AV26" i="9" s="1"/>
  <c r="F53" i="9"/>
  <c r="F54" i="9" s="1"/>
  <c r="AV27" i="9"/>
  <c r="AA27" i="9"/>
  <c r="G24" i="9"/>
  <c r="G25" i="9" s="1"/>
  <c r="E52" i="9"/>
  <c r="AS26" i="9" s="1"/>
  <c r="E53" i="9"/>
  <c r="E54" i="9" s="1"/>
  <c r="AY27" i="9"/>
  <c r="K52" i="9"/>
  <c r="AY26" i="9" s="1"/>
  <c r="K53" i="9"/>
  <c r="K54" i="9" s="1"/>
  <c r="D36" i="6"/>
  <c r="K36" i="6" s="1"/>
  <c r="D37" i="6" s="1"/>
  <c r="K37" i="6" s="1"/>
  <c r="D38" i="6" s="1"/>
  <c r="K38" i="6" s="1"/>
  <c r="D39" i="6" s="1"/>
  <c r="K39" i="6" s="1"/>
  <c r="D40" i="6" s="1"/>
  <c r="K40" i="6" s="1"/>
  <c r="D41" i="6" s="1"/>
  <c r="K41" i="6" s="1"/>
  <c r="D42" i="6" s="1"/>
  <c r="K42" i="6" s="1"/>
  <c r="D43" i="6" s="1"/>
  <c r="K43" i="6" s="1"/>
  <c r="D44" i="6" s="1"/>
  <c r="K44" i="6" s="1"/>
  <c r="D45" i="6" s="1"/>
  <c r="K45" i="6" s="1"/>
  <c r="D46" i="6" s="1"/>
  <c r="K46" i="6" s="1"/>
  <c r="D47" i="6" s="1"/>
  <c r="K14" i="7"/>
  <c r="O554" i="10" s="1"/>
  <c r="H13" i="7"/>
  <c r="J553" i="10"/>
  <c r="AR27" i="9"/>
  <c r="D52" i="9"/>
  <c r="AR26" i="9" s="1"/>
  <c r="D53" i="9"/>
  <c r="D54" i="9" s="1"/>
  <c r="F14" i="7"/>
  <c r="H554" i="10"/>
  <c r="H24" i="9"/>
  <c r="H25" i="9" s="1"/>
  <c r="H22" i="9"/>
  <c r="AB26" i="9" s="1"/>
  <c r="AB27" i="9"/>
  <c r="AX27" i="9"/>
  <c r="J52" i="9"/>
  <c r="AX26" i="9" s="1"/>
  <c r="J53" i="9"/>
  <c r="J54" i="9" s="1"/>
  <c r="G52" i="9"/>
  <c r="AU26" i="9" s="1"/>
  <c r="AU27" i="9"/>
  <c r="G53" i="9"/>
  <c r="L116" i="5" l="1"/>
  <c r="AN35" i="9"/>
  <c r="W55" i="9"/>
  <c r="C175" i="5"/>
  <c r="Y59" i="9"/>
  <c r="Y60" i="9" s="1"/>
  <c r="E178" i="5"/>
  <c r="H636" i="10"/>
  <c r="G38" i="9"/>
  <c r="AK26" i="9" s="1"/>
  <c r="X55" i="9"/>
  <c r="Y55" i="9"/>
  <c r="G39" i="9"/>
  <c r="I116" i="5" s="1"/>
  <c r="M359" i="10" s="1"/>
  <c r="C151" i="5"/>
  <c r="I152" i="5"/>
  <c r="AK35" i="9"/>
  <c r="I151" i="5" s="1"/>
  <c r="F152" i="5"/>
  <c r="Z35" i="9"/>
  <c r="F151" i="5" s="1"/>
  <c r="AA55" i="9"/>
  <c r="L151" i="5"/>
  <c r="AF55" i="9"/>
  <c r="AP55" i="9"/>
  <c r="AU55" i="9"/>
  <c r="K359" i="10"/>
  <c r="D173" i="5"/>
  <c r="L190" i="5"/>
  <c r="P648" i="10" s="1"/>
  <c r="O648" i="10"/>
  <c r="L188" i="5"/>
  <c r="P646" i="10" s="1"/>
  <c r="O646" i="10"/>
  <c r="D176" i="5"/>
  <c r="G634" i="10"/>
  <c r="D177" i="5"/>
  <c r="G635" i="10"/>
  <c r="L182" i="5"/>
  <c r="P640" i="10" s="1"/>
  <c r="O640" i="10"/>
  <c r="L183" i="5"/>
  <c r="P641" i="10" s="1"/>
  <c r="O641" i="10"/>
  <c r="L189" i="5"/>
  <c r="P647" i="10" s="1"/>
  <c r="O647" i="10"/>
  <c r="L193" i="5"/>
  <c r="P651" i="10" s="1"/>
  <c r="O651" i="10"/>
  <c r="L185" i="5"/>
  <c r="P643" i="10" s="1"/>
  <c r="O643" i="10"/>
  <c r="L179" i="5"/>
  <c r="P637" i="10" s="1"/>
  <c r="O637" i="10"/>
  <c r="L184" i="5"/>
  <c r="P642" i="10" s="1"/>
  <c r="O642" i="10"/>
  <c r="AN55" i="9"/>
  <c r="J173" i="5"/>
  <c r="Z27" i="9"/>
  <c r="G613" i="10"/>
  <c r="F116" i="5"/>
  <c r="F117" i="5" s="1"/>
  <c r="J360" i="10" s="1"/>
  <c r="L607" i="10"/>
  <c r="L631" i="10" s="1"/>
  <c r="L665" i="10" s="1"/>
  <c r="H173" i="5"/>
  <c r="G612" i="10"/>
  <c r="G670" i="10" s="1"/>
  <c r="P607" i="10"/>
  <c r="P631" i="10" s="1"/>
  <c r="P665" i="10" s="1"/>
  <c r="L173" i="5"/>
  <c r="AF27" i="9"/>
  <c r="L22" i="9"/>
  <c r="AF26" i="9" s="1"/>
  <c r="L24" i="9"/>
  <c r="G610" i="10"/>
  <c r="G668" i="10" s="1"/>
  <c r="H114" i="5"/>
  <c r="L357" i="10" s="1"/>
  <c r="L356" i="10"/>
  <c r="J356" i="10"/>
  <c r="O607" i="10"/>
  <c r="O631" i="10" s="1"/>
  <c r="O665" i="10" s="1"/>
  <c r="K173" i="5"/>
  <c r="M607" i="10"/>
  <c r="M631" i="10" s="1"/>
  <c r="M665" i="10" s="1"/>
  <c r="I173" i="5"/>
  <c r="G611" i="10"/>
  <c r="G669" i="10" s="1"/>
  <c r="F24" i="9"/>
  <c r="F25" i="9" s="1"/>
  <c r="D117" i="5"/>
  <c r="H360" i="10" s="1"/>
  <c r="H359" i="10"/>
  <c r="L117" i="5"/>
  <c r="P360" i="10" s="1"/>
  <c r="P359" i="10"/>
  <c r="E117" i="5"/>
  <c r="I360" i="10" s="1"/>
  <c r="I359" i="10"/>
  <c r="J114" i="5"/>
  <c r="N357" i="10" s="1"/>
  <c r="N356" i="10"/>
  <c r="E114" i="5"/>
  <c r="I357" i="10" s="1"/>
  <c r="I356" i="10"/>
  <c r="C22" i="9"/>
  <c r="W26" i="9" s="1"/>
  <c r="W27" i="9"/>
  <c r="C24" i="9"/>
  <c r="C25" i="9" s="1"/>
  <c r="C114" i="5"/>
  <c r="G357" i="10" s="1"/>
  <c r="C116" i="5"/>
  <c r="AP27" i="9"/>
  <c r="L38" i="9"/>
  <c r="AP26" i="9" s="1"/>
  <c r="L39" i="9"/>
  <c r="D15" i="7"/>
  <c r="K47" i="6"/>
  <c r="H14" i="7"/>
  <c r="J554" i="10"/>
  <c r="J13" i="7"/>
  <c r="N553" i="10" s="1"/>
  <c r="L553" i="10"/>
  <c r="K116" i="5"/>
  <c r="G54" i="9"/>
  <c r="D175" i="5" l="1"/>
  <c r="G633" i="10"/>
  <c r="G609" i="10"/>
  <c r="G667" i="10" s="1"/>
  <c r="Z59" i="9"/>
  <c r="Z60" i="9" s="1"/>
  <c r="F178" i="5"/>
  <c r="I636" i="10"/>
  <c r="I117" i="5"/>
  <c r="M360" i="10" s="1"/>
  <c r="G40" i="9"/>
  <c r="Z55" i="9"/>
  <c r="AK55" i="9"/>
  <c r="H635" i="10"/>
  <c r="E177" i="5"/>
  <c r="E176" i="5"/>
  <c r="H634" i="10"/>
  <c r="J359" i="10"/>
  <c r="H609" i="10"/>
  <c r="H611" i="10"/>
  <c r="H669" i="10" s="1"/>
  <c r="H613" i="10"/>
  <c r="H610" i="10"/>
  <c r="H668" i="10" s="1"/>
  <c r="H612" i="10"/>
  <c r="H670" i="10" s="1"/>
  <c r="H116" i="5"/>
  <c r="L25" i="9"/>
  <c r="C117" i="5"/>
  <c r="G360" i="10" s="1"/>
  <c r="G359" i="10"/>
  <c r="K117" i="5"/>
  <c r="O360" i="10" s="1"/>
  <c r="O359" i="10"/>
  <c r="J116" i="5"/>
  <c r="L40" i="9"/>
  <c r="J14" i="7"/>
  <c r="N554" i="10" s="1"/>
  <c r="L554" i="10"/>
  <c r="K15" i="7"/>
  <c r="O555" i="10" s="1"/>
  <c r="D48" i="6"/>
  <c r="K48" i="6" s="1"/>
  <c r="D49" i="6" s="1"/>
  <c r="K49" i="6" s="1"/>
  <c r="D50" i="6" s="1"/>
  <c r="K50" i="6" s="1"/>
  <c r="D51" i="6" s="1"/>
  <c r="K51" i="6" s="1"/>
  <c r="D52" i="6" s="1"/>
  <c r="K52" i="6" s="1"/>
  <c r="D53" i="6" s="1"/>
  <c r="K53" i="6" s="1"/>
  <c r="D54" i="6" s="1"/>
  <c r="K54" i="6" s="1"/>
  <c r="D55" i="6" s="1"/>
  <c r="K55" i="6" s="1"/>
  <c r="D56" i="6" s="1"/>
  <c r="K56" i="6" s="1"/>
  <c r="D57" i="6" s="1"/>
  <c r="K57" i="6" s="1"/>
  <c r="D58" i="6" s="1"/>
  <c r="K58" i="6" s="1"/>
  <c r="D59" i="6" s="1"/>
  <c r="F15" i="7"/>
  <c r="H555" i="10"/>
  <c r="E175" i="5" l="1"/>
  <c r="H633" i="10"/>
  <c r="H667" i="10"/>
  <c r="AA59" i="9"/>
  <c r="AB59" i="9" s="1"/>
  <c r="G178" i="5"/>
  <c r="J636" i="10"/>
  <c r="F177" i="5"/>
  <c r="I635" i="10"/>
  <c r="F176" i="5"/>
  <c r="I634" i="10"/>
  <c r="I611" i="10"/>
  <c r="I669" i="10" s="1"/>
  <c r="I613" i="10"/>
  <c r="I609" i="10"/>
  <c r="I610" i="10"/>
  <c r="I668" i="10" s="1"/>
  <c r="H117" i="5"/>
  <c r="L360" i="10" s="1"/>
  <c r="L359" i="10"/>
  <c r="I612" i="10"/>
  <c r="I670" i="10" s="1"/>
  <c r="J117" i="5"/>
  <c r="N360" i="10" s="1"/>
  <c r="N359" i="10"/>
  <c r="K59" i="6"/>
  <c r="D16" i="7"/>
  <c r="H15" i="7"/>
  <c r="J555" i="10"/>
  <c r="I667" i="10" l="1"/>
  <c r="I633" i="10"/>
  <c r="F175" i="5"/>
  <c r="AA60" i="9"/>
  <c r="H178" i="5"/>
  <c r="K636" i="10"/>
  <c r="AC59" i="9"/>
  <c r="AB60" i="9"/>
  <c r="G176" i="5"/>
  <c r="J634" i="10"/>
  <c r="G177" i="5"/>
  <c r="J635" i="10"/>
  <c r="J613" i="10"/>
  <c r="J612" i="10"/>
  <c r="J670" i="10" s="1"/>
  <c r="J610" i="10"/>
  <c r="J668" i="10" s="1"/>
  <c r="J611" i="10"/>
  <c r="J669" i="10" s="1"/>
  <c r="J609" i="10"/>
  <c r="J15" i="7"/>
  <c r="N555" i="10" s="1"/>
  <c r="L555" i="10"/>
  <c r="F16" i="7"/>
  <c r="H556" i="10"/>
  <c r="D60" i="6"/>
  <c r="K60" i="6" s="1"/>
  <c r="D61" i="6" s="1"/>
  <c r="K61" i="6" s="1"/>
  <c r="D62" i="6" s="1"/>
  <c r="K62" i="6" s="1"/>
  <c r="D63" i="6" s="1"/>
  <c r="K63" i="6" s="1"/>
  <c r="D64" i="6" s="1"/>
  <c r="K64" i="6" s="1"/>
  <c r="D65" i="6" s="1"/>
  <c r="K65" i="6" s="1"/>
  <c r="D66" i="6" s="1"/>
  <c r="K66" i="6" s="1"/>
  <c r="D67" i="6" s="1"/>
  <c r="K67" i="6" s="1"/>
  <c r="D68" i="6" s="1"/>
  <c r="K68" i="6" s="1"/>
  <c r="D69" i="6" s="1"/>
  <c r="K69" i="6" s="1"/>
  <c r="D70" i="6" s="1"/>
  <c r="K70" i="6" s="1"/>
  <c r="D71" i="6" s="1"/>
  <c r="K16" i="7"/>
  <c r="O556" i="10" s="1"/>
  <c r="J667" i="10" l="1"/>
  <c r="J633" i="10"/>
  <c r="G175" i="5"/>
  <c r="I178" i="5"/>
  <c r="L636" i="10"/>
  <c r="AD59" i="9"/>
  <c r="AC60" i="9"/>
  <c r="H177" i="5"/>
  <c r="K635" i="10"/>
  <c r="H176" i="5"/>
  <c r="K634" i="10"/>
  <c r="K612" i="10"/>
  <c r="K670" i="10" s="1"/>
  <c r="K609" i="10"/>
  <c r="K611" i="10"/>
  <c r="K669" i="10" s="1"/>
  <c r="K610" i="10"/>
  <c r="K668" i="10" s="1"/>
  <c r="K613" i="10"/>
  <c r="H16" i="7"/>
  <c r="J556" i="10"/>
  <c r="K71" i="6"/>
  <c r="D17" i="7"/>
  <c r="K667" i="10" l="1"/>
  <c r="K633" i="10"/>
  <c r="H175" i="5"/>
  <c r="J178" i="5"/>
  <c r="M636" i="10"/>
  <c r="AE59" i="9"/>
  <c r="AD60" i="9"/>
  <c r="I176" i="5"/>
  <c r="L634" i="10"/>
  <c r="I177" i="5"/>
  <c r="L635" i="10"/>
  <c r="L610" i="10"/>
  <c r="L668" i="10" s="1"/>
  <c r="L612" i="10"/>
  <c r="L670" i="10" s="1"/>
  <c r="L611" i="10"/>
  <c r="L669" i="10" s="1"/>
  <c r="L613" i="10"/>
  <c r="L609" i="10"/>
  <c r="F17" i="7"/>
  <c r="H557" i="10"/>
  <c r="D72" i="6"/>
  <c r="K72" i="6" s="1"/>
  <c r="D73" i="6" s="1"/>
  <c r="K73" i="6" s="1"/>
  <c r="D74" i="6" s="1"/>
  <c r="K74" i="6" s="1"/>
  <c r="D75" i="6" s="1"/>
  <c r="K75" i="6" s="1"/>
  <c r="D76" i="6" s="1"/>
  <c r="K76" i="6" s="1"/>
  <c r="D77" i="6" s="1"/>
  <c r="K77" i="6" s="1"/>
  <c r="D78" i="6" s="1"/>
  <c r="K78" i="6" s="1"/>
  <c r="D79" i="6" s="1"/>
  <c r="K79" i="6" s="1"/>
  <c r="D80" i="6" s="1"/>
  <c r="K80" i="6" s="1"/>
  <c r="D81" i="6" s="1"/>
  <c r="K81" i="6" s="1"/>
  <c r="D82" i="6" s="1"/>
  <c r="K82" i="6" s="1"/>
  <c r="D83" i="6" s="1"/>
  <c r="K17" i="7"/>
  <c r="O557" i="10" s="1"/>
  <c r="J16" i="7"/>
  <c r="N556" i="10" s="1"/>
  <c r="L556" i="10"/>
  <c r="L667" i="10" l="1"/>
  <c r="L633" i="10"/>
  <c r="I175" i="5"/>
  <c r="K178" i="5"/>
  <c r="N636" i="10"/>
  <c r="AF59" i="9"/>
  <c r="AE60" i="9"/>
  <c r="M635" i="10"/>
  <c r="J177" i="5"/>
  <c r="J176" i="5"/>
  <c r="M634" i="10"/>
  <c r="M611" i="10"/>
  <c r="M669" i="10" s="1"/>
  <c r="M613" i="10"/>
  <c r="M609" i="10"/>
  <c r="M667" i="10" s="1"/>
  <c r="M612" i="10"/>
  <c r="M670" i="10" s="1"/>
  <c r="M610" i="10"/>
  <c r="M668" i="10" s="1"/>
  <c r="D18" i="7"/>
  <c r="K83" i="6"/>
  <c r="H17" i="7"/>
  <c r="J557" i="10"/>
  <c r="J175" i="5" l="1"/>
  <c r="M633" i="10"/>
  <c r="L178" i="5"/>
  <c r="P636" i="10" s="1"/>
  <c r="O636" i="10"/>
  <c r="AG59" i="9"/>
  <c r="AF60" i="9"/>
  <c r="K176" i="5"/>
  <c r="N634" i="10"/>
  <c r="K177" i="5"/>
  <c r="N635" i="10"/>
  <c r="N612" i="10"/>
  <c r="N670" i="10" s="1"/>
  <c r="N611" i="10"/>
  <c r="N669" i="10" s="1"/>
  <c r="N609" i="10"/>
  <c r="N667" i="10" s="1"/>
  <c r="N610" i="10"/>
  <c r="N668" i="10" s="1"/>
  <c r="N613" i="10"/>
  <c r="J17" i="7"/>
  <c r="L557" i="10"/>
  <c r="D84" i="6"/>
  <c r="K84" i="6" s="1"/>
  <c r="D85" i="6" s="1"/>
  <c r="K85" i="6" s="1"/>
  <c r="D86" i="6" s="1"/>
  <c r="K86" i="6" s="1"/>
  <c r="D87" i="6" s="1"/>
  <c r="K87" i="6" s="1"/>
  <c r="D88" i="6" s="1"/>
  <c r="K88" i="6" s="1"/>
  <c r="D89" i="6" s="1"/>
  <c r="K89" i="6" s="1"/>
  <c r="D90" i="6" s="1"/>
  <c r="K90" i="6" s="1"/>
  <c r="D91" i="6" s="1"/>
  <c r="K91" i="6" s="1"/>
  <c r="D92" i="6" s="1"/>
  <c r="K92" i="6" s="1"/>
  <c r="D93" i="6" s="1"/>
  <c r="K93" i="6" s="1"/>
  <c r="D94" i="6" s="1"/>
  <c r="K94" i="6" s="1"/>
  <c r="D95" i="6" s="1"/>
  <c r="K18" i="7"/>
  <c r="O558" i="10" s="1"/>
  <c r="F18" i="7"/>
  <c r="H558" i="10"/>
  <c r="N633" i="10" l="1"/>
  <c r="K175" i="5"/>
  <c r="N557" i="10"/>
  <c r="L17" i="7"/>
  <c r="AH59" i="9"/>
  <c r="AG60" i="9"/>
  <c r="L177" i="5"/>
  <c r="P635" i="10" s="1"/>
  <c r="O635" i="10"/>
  <c r="L176" i="5"/>
  <c r="P634" i="10" s="1"/>
  <c r="O634" i="10"/>
  <c r="O609" i="10"/>
  <c r="O667" i="10" s="1"/>
  <c r="O610" i="10"/>
  <c r="O668" i="10" s="1"/>
  <c r="O611" i="10"/>
  <c r="O669" i="10" s="1"/>
  <c r="O612" i="10"/>
  <c r="O670" i="10" s="1"/>
  <c r="O613" i="10"/>
  <c r="K95" i="6"/>
  <c r="D19" i="7"/>
  <c r="H18" i="7"/>
  <c r="J558" i="10"/>
  <c r="L175" i="5" l="1"/>
  <c r="P633" i="10" s="1"/>
  <c r="O633" i="10"/>
  <c r="AI59" i="9"/>
  <c r="AH60" i="9"/>
  <c r="P612" i="10"/>
  <c r="P670" i="10" s="1"/>
  <c r="M154" i="5"/>
  <c r="P610" i="10"/>
  <c r="P668" i="10" s="1"/>
  <c r="P613" i="10"/>
  <c r="M155" i="5"/>
  <c r="P611" i="10"/>
  <c r="P669" i="10" s="1"/>
  <c r="M153" i="5"/>
  <c r="P609" i="10"/>
  <c r="P667" i="10" s="1"/>
  <c r="J18" i="7"/>
  <c r="N558" i="10" s="1"/>
  <c r="L558" i="10"/>
  <c r="F19" i="7"/>
  <c r="H559" i="10"/>
  <c r="K19" i="7"/>
  <c r="O559" i="10" s="1"/>
  <c r="D96" i="6"/>
  <c r="K96" i="6" s="1"/>
  <c r="D97" i="6" s="1"/>
  <c r="K97" i="6" s="1"/>
  <c r="D98" i="6" s="1"/>
  <c r="K98" i="6" s="1"/>
  <c r="D99" i="6" s="1"/>
  <c r="K99" i="6" s="1"/>
  <c r="D100" i="6" s="1"/>
  <c r="K100" i="6" s="1"/>
  <c r="D101" i="6" s="1"/>
  <c r="K101" i="6" s="1"/>
  <c r="D102" i="6" s="1"/>
  <c r="K102" i="6" s="1"/>
  <c r="D103" i="6" s="1"/>
  <c r="K103" i="6" s="1"/>
  <c r="D104" i="6" s="1"/>
  <c r="K104" i="6" s="1"/>
  <c r="D105" i="6" s="1"/>
  <c r="K105" i="6" s="1"/>
  <c r="D106" i="6" s="1"/>
  <c r="K106" i="6" s="1"/>
  <c r="D107" i="6" s="1"/>
  <c r="AJ59" i="9" l="1"/>
  <c r="AI60" i="9"/>
  <c r="H19" i="7"/>
  <c r="J559" i="10"/>
  <c r="D20" i="7"/>
  <c r="K107" i="6"/>
  <c r="AK59" i="9" l="1"/>
  <c r="AJ60" i="9"/>
  <c r="D108" i="6"/>
  <c r="K108" i="6" s="1"/>
  <c r="D109" i="6" s="1"/>
  <c r="K109" i="6" s="1"/>
  <c r="D110" i="6" s="1"/>
  <c r="K110" i="6" s="1"/>
  <c r="D111" i="6" s="1"/>
  <c r="K111" i="6" s="1"/>
  <c r="D112" i="6" s="1"/>
  <c r="K112" i="6" s="1"/>
  <c r="D113" i="6" s="1"/>
  <c r="K113" i="6" s="1"/>
  <c r="D114" i="6" s="1"/>
  <c r="K114" i="6" s="1"/>
  <c r="D115" i="6" s="1"/>
  <c r="K115" i="6" s="1"/>
  <c r="D116" i="6" s="1"/>
  <c r="K116" i="6" s="1"/>
  <c r="D117" i="6" s="1"/>
  <c r="K117" i="6" s="1"/>
  <c r="D118" i="6" s="1"/>
  <c r="K118" i="6" s="1"/>
  <c r="D119" i="6" s="1"/>
  <c r="K20" i="7"/>
  <c r="O560" i="10" s="1"/>
  <c r="F20" i="7"/>
  <c r="H560" i="10"/>
  <c r="J19" i="7"/>
  <c r="N559" i="10" s="1"/>
  <c r="L559" i="10"/>
  <c r="AL59" i="9" l="1"/>
  <c r="AM59" i="9" s="1"/>
  <c r="AK60" i="9"/>
  <c r="H20" i="7"/>
  <c r="J560" i="10"/>
  <c r="K119" i="6"/>
  <c r="D21" i="7"/>
  <c r="AL60" i="9" l="1"/>
  <c r="F21" i="7"/>
  <c r="H561" i="10"/>
  <c r="D120" i="6"/>
  <c r="K120" i="6" s="1"/>
  <c r="D121" i="6" s="1"/>
  <c r="K121" i="6" s="1"/>
  <c r="D122" i="6" s="1"/>
  <c r="K122" i="6" s="1"/>
  <c r="D123" i="6" s="1"/>
  <c r="K123" i="6" s="1"/>
  <c r="D124" i="6" s="1"/>
  <c r="K124" i="6" s="1"/>
  <c r="D125" i="6" s="1"/>
  <c r="K125" i="6" s="1"/>
  <c r="D126" i="6" s="1"/>
  <c r="K126" i="6" s="1"/>
  <c r="D127" i="6" s="1"/>
  <c r="K127" i="6" s="1"/>
  <c r="D128" i="6" s="1"/>
  <c r="K128" i="6" s="1"/>
  <c r="D129" i="6" s="1"/>
  <c r="K129" i="6" s="1"/>
  <c r="D130" i="6" s="1"/>
  <c r="K130" i="6" s="1"/>
  <c r="D131" i="6" s="1"/>
  <c r="K21" i="7"/>
  <c r="O561" i="10" s="1"/>
  <c r="J20" i="7"/>
  <c r="N560" i="10" s="1"/>
  <c r="L560" i="10"/>
  <c r="AN59" i="9" l="1"/>
  <c r="AM60" i="9"/>
  <c r="K131" i="6"/>
  <c r="D22" i="7"/>
  <c r="H21" i="7"/>
  <c r="J561" i="10"/>
  <c r="AO59" i="9" l="1"/>
  <c r="AN60" i="9"/>
  <c r="J21" i="7"/>
  <c r="N561" i="10" s="1"/>
  <c r="L561" i="10"/>
  <c r="F22" i="7"/>
  <c r="H562" i="10"/>
  <c r="D132" i="6"/>
  <c r="K132" i="6" s="1"/>
  <c r="D133" i="6" s="1"/>
  <c r="K133" i="6" s="1"/>
  <c r="D134" i="6" s="1"/>
  <c r="K134" i="6" s="1"/>
  <c r="D135" i="6" s="1"/>
  <c r="K135" i="6" s="1"/>
  <c r="D136" i="6" s="1"/>
  <c r="K136" i="6" s="1"/>
  <c r="D137" i="6" s="1"/>
  <c r="K137" i="6" s="1"/>
  <c r="D138" i="6" s="1"/>
  <c r="K138" i="6" s="1"/>
  <c r="D139" i="6" s="1"/>
  <c r="K139" i="6" s="1"/>
  <c r="D140" i="6" s="1"/>
  <c r="K140" i="6" s="1"/>
  <c r="D141" i="6" s="1"/>
  <c r="K141" i="6" s="1"/>
  <c r="D142" i="6" s="1"/>
  <c r="K142" i="6" s="1"/>
  <c r="D143" i="6" s="1"/>
  <c r="K22" i="7"/>
  <c r="O562" i="10" s="1"/>
  <c r="AP59" i="9" l="1"/>
  <c r="AO60" i="9"/>
  <c r="H22" i="7"/>
  <c r="J562" i="10"/>
  <c r="K143" i="6"/>
  <c r="D23" i="7"/>
  <c r="AQ59" i="9" l="1"/>
  <c r="AP60" i="9"/>
  <c r="F23" i="7"/>
  <c r="H563" i="10"/>
  <c r="D144" i="6"/>
  <c r="K144" i="6" s="1"/>
  <c r="D145" i="6" s="1"/>
  <c r="K145" i="6" s="1"/>
  <c r="D146" i="6" s="1"/>
  <c r="K146" i="6" s="1"/>
  <c r="D147" i="6" s="1"/>
  <c r="K147" i="6" s="1"/>
  <c r="D148" i="6" s="1"/>
  <c r="K148" i="6" s="1"/>
  <c r="D149" i="6" s="1"/>
  <c r="K149" i="6" s="1"/>
  <c r="D150" i="6" s="1"/>
  <c r="K150" i="6" s="1"/>
  <c r="D151" i="6" s="1"/>
  <c r="K151" i="6" s="1"/>
  <c r="D152" i="6" s="1"/>
  <c r="K152" i="6" s="1"/>
  <c r="D153" i="6" s="1"/>
  <c r="K153" i="6" s="1"/>
  <c r="D154" i="6" s="1"/>
  <c r="K154" i="6" s="1"/>
  <c r="D155" i="6" s="1"/>
  <c r="K23" i="7"/>
  <c r="O563" i="10" s="1"/>
  <c r="J22" i="7"/>
  <c r="N562" i="10" s="1"/>
  <c r="L562" i="10"/>
  <c r="AR59" i="9" l="1"/>
  <c r="AQ60" i="9"/>
  <c r="K155" i="6"/>
  <c r="D24" i="7"/>
  <c r="H23" i="7"/>
  <c r="J563" i="10"/>
  <c r="AS59" i="9" l="1"/>
  <c r="AR60" i="9"/>
  <c r="J23" i="7"/>
  <c r="N563" i="10" s="1"/>
  <c r="L563" i="10"/>
  <c r="F24" i="7"/>
  <c r="H564" i="10"/>
  <c r="D156" i="6"/>
  <c r="K156" i="6" s="1"/>
  <c r="D157" i="6" s="1"/>
  <c r="K157" i="6" s="1"/>
  <c r="D158" i="6" s="1"/>
  <c r="K158" i="6" s="1"/>
  <c r="D159" i="6" s="1"/>
  <c r="K159" i="6" s="1"/>
  <c r="D160" i="6" s="1"/>
  <c r="K160" i="6" s="1"/>
  <c r="D161" i="6" s="1"/>
  <c r="K161" i="6" s="1"/>
  <c r="D162" i="6" s="1"/>
  <c r="K162" i="6" s="1"/>
  <c r="D163" i="6" s="1"/>
  <c r="K163" i="6" s="1"/>
  <c r="D164" i="6" s="1"/>
  <c r="K164" i="6" s="1"/>
  <c r="D165" i="6" s="1"/>
  <c r="K165" i="6" s="1"/>
  <c r="D166" i="6" s="1"/>
  <c r="K166" i="6" s="1"/>
  <c r="D167" i="6" s="1"/>
  <c r="K24" i="7"/>
  <c r="O564" i="10" s="1"/>
  <c r="AT59" i="9" l="1"/>
  <c r="AS60" i="9"/>
  <c r="H24" i="7"/>
  <c r="J564" i="10"/>
  <c r="D25" i="7"/>
  <c r="K167" i="6"/>
  <c r="AU59" i="9" l="1"/>
  <c r="AT60" i="9"/>
  <c r="K25" i="7"/>
  <c r="O565" i="10" s="1"/>
  <c r="D168" i="6"/>
  <c r="K168" i="6" s="1"/>
  <c r="D169" i="6" s="1"/>
  <c r="K169" i="6" s="1"/>
  <c r="D170" i="6" s="1"/>
  <c r="K170" i="6" s="1"/>
  <c r="D171" i="6" s="1"/>
  <c r="K171" i="6" s="1"/>
  <c r="D172" i="6" s="1"/>
  <c r="K172" i="6" s="1"/>
  <c r="D173" i="6" s="1"/>
  <c r="K173" i="6" s="1"/>
  <c r="D174" i="6" s="1"/>
  <c r="K174" i="6" s="1"/>
  <c r="D175" i="6" s="1"/>
  <c r="K175" i="6" s="1"/>
  <c r="D176" i="6" s="1"/>
  <c r="K176" i="6" s="1"/>
  <c r="D177" i="6" s="1"/>
  <c r="K177" i="6" s="1"/>
  <c r="D178" i="6" s="1"/>
  <c r="K178" i="6" s="1"/>
  <c r="D179" i="6" s="1"/>
  <c r="F25" i="7"/>
  <c r="H565" i="10"/>
  <c r="J24" i="7"/>
  <c r="N564" i="10" s="1"/>
  <c r="L564" i="10"/>
  <c r="AV59" i="9" l="1"/>
  <c r="AU60" i="9"/>
  <c r="H25" i="7"/>
  <c r="J565" i="10"/>
  <c r="D26" i="7"/>
  <c r="K179" i="6"/>
  <c r="AW59" i="9" l="1"/>
  <c r="AV60" i="9"/>
  <c r="K26" i="7"/>
  <c r="O566" i="10" s="1"/>
  <c r="D180" i="6"/>
  <c r="K180" i="6" s="1"/>
  <c r="D181" i="6" s="1"/>
  <c r="K181" i="6" s="1"/>
  <c r="D182" i="6" s="1"/>
  <c r="K182" i="6" s="1"/>
  <c r="D183" i="6" s="1"/>
  <c r="K183" i="6" s="1"/>
  <c r="D184" i="6" s="1"/>
  <c r="K184" i="6" s="1"/>
  <c r="D185" i="6" s="1"/>
  <c r="K185" i="6" s="1"/>
  <c r="D186" i="6" s="1"/>
  <c r="K186" i="6" s="1"/>
  <c r="D187" i="6" s="1"/>
  <c r="K187" i="6" s="1"/>
  <c r="D188" i="6" s="1"/>
  <c r="K188" i="6" s="1"/>
  <c r="D189" i="6" s="1"/>
  <c r="K189" i="6" s="1"/>
  <c r="D190" i="6" s="1"/>
  <c r="K190" i="6" s="1"/>
  <c r="D191" i="6" s="1"/>
  <c r="F26" i="7"/>
  <c r="H566" i="10"/>
  <c r="J25" i="7"/>
  <c r="N565" i="10" s="1"/>
  <c r="L565" i="10"/>
  <c r="AX59" i="9" l="1"/>
  <c r="AW60" i="9"/>
  <c r="H26" i="7"/>
  <c r="J566" i="10"/>
  <c r="K191" i="6"/>
  <c r="D27" i="7"/>
  <c r="AY59" i="9" l="1"/>
  <c r="AX60" i="9"/>
  <c r="F27" i="7"/>
  <c r="H567" i="10"/>
  <c r="K27" i="7"/>
  <c r="O567" i="10" s="1"/>
  <c r="D192" i="6"/>
  <c r="K192" i="6" s="1"/>
  <c r="D193" i="6" s="1"/>
  <c r="K193" i="6" s="1"/>
  <c r="D194" i="6" s="1"/>
  <c r="K194" i="6" s="1"/>
  <c r="D195" i="6" s="1"/>
  <c r="K195" i="6" s="1"/>
  <c r="D196" i="6" s="1"/>
  <c r="K196" i="6" s="1"/>
  <c r="D197" i="6" s="1"/>
  <c r="K197" i="6" s="1"/>
  <c r="D198" i="6" s="1"/>
  <c r="K198" i="6" s="1"/>
  <c r="D199" i="6" s="1"/>
  <c r="K199" i="6" s="1"/>
  <c r="D200" i="6" s="1"/>
  <c r="K200" i="6" s="1"/>
  <c r="D201" i="6" s="1"/>
  <c r="K201" i="6" s="1"/>
  <c r="D202" i="6" s="1"/>
  <c r="K202" i="6" s="1"/>
  <c r="D203" i="6" s="1"/>
  <c r="J26" i="7"/>
  <c r="N566" i="10" s="1"/>
  <c r="L566" i="10"/>
  <c r="AZ59" i="9" l="1"/>
  <c r="AZ60" i="9" s="1"/>
  <c r="AY60" i="9"/>
  <c r="K203" i="6"/>
  <c r="D28" i="7"/>
  <c r="H27" i="7"/>
  <c r="J567" i="10"/>
  <c r="J27" i="7" l="1"/>
  <c r="L567" i="10"/>
  <c r="F28" i="7"/>
  <c r="H568" i="10"/>
  <c r="D204" i="6"/>
  <c r="K204" i="6" s="1"/>
  <c r="D205" i="6" s="1"/>
  <c r="K205" i="6" s="1"/>
  <c r="D206" i="6" s="1"/>
  <c r="K206" i="6" s="1"/>
  <c r="D207" i="6" s="1"/>
  <c r="K207" i="6" s="1"/>
  <c r="D208" i="6" s="1"/>
  <c r="K208" i="6" s="1"/>
  <c r="D209" i="6" s="1"/>
  <c r="K209" i="6" s="1"/>
  <c r="D210" i="6" s="1"/>
  <c r="K210" i="6" s="1"/>
  <c r="D211" i="6" s="1"/>
  <c r="K211" i="6" s="1"/>
  <c r="D212" i="6" s="1"/>
  <c r="K212" i="6" s="1"/>
  <c r="D213" i="6" s="1"/>
  <c r="K213" i="6" s="1"/>
  <c r="D214" i="6" s="1"/>
  <c r="K214" i="6" s="1"/>
  <c r="D215" i="6" s="1"/>
  <c r="K28" i="7"/>
  <c r="O568" i="10" s="1"/>
  <c r="N567" i="10" l="1"/>
  <c r="L27" i="7"/>
  <c r="H28" i="7"/>
  <c r="J568" i="10"/>
  <c r="K215" i="6"/>
  <c r="D29" i="7"/>
  <c r="F29" i="7" l="1"/>
  <c r="H569" i="10"/>
  <c r="D216" i="6"/>
  <c r="K216" i="6" s="1"/>
  <c r="D217" i="6" s="1"/>
  <c r="K217" i="6" s="1"/>
  <c r="D218" i="6" s="1"/>
  <c r="K218" i="6" s="1"/>
  <c r="D219" i="6" s="1"/>
  <c r="K219" i="6" s="1"/>
  <c r="D220" i="6" s="1"/>
  <c r="K220" i="6" s="1"/>
  <c r="D221" i="6" s="1"/>
  <c r="K221" i="6" s="1"/>
  <c r="D222" i="6" s="1"/>
  <c r="K222" i="6" s="1"/>
  <c r="D223" i="6" s="1"/>
  <c r="K223" i="6" s="1"/>
  <c r="D224" i="6" s="1"/>
  <c r="K224" i="6" s="1"/>
  <c r="D225" i="6" s="1"/>
  <c r="K225" i="6" s="1"/>
  <c r="D226" i="6" s="1"/>
  <c r="K226" i="6" s="1"/>
  <c r="D227" i="6" s="1"/>
  <c r="K29" i="7"/>
  <c r="O569" i="10" s="1"/>
  <c r="J28" i="7"/>
  <c r="N568" i="10" s="1"/>
  <c r="L568" i="10"/>
  <c r="D30" i="7" l="1"/>
  <c r="K227" i="6"/>
  <c r="H29" i="7"/>
  <c r="J569" i="10"/>
  <c r="J29" i="7" l="1"/>
  <c r="N569" i="10" s="1"/>
  <c r="L569" i="10"/>
  <c r="D228" i="6"/>
  <c r="K228" i="6" s="1"/>
  <c r="D229" i="6" s="1"/>
  <c r="K229" i="6" s="1"/>
  <c r="D230" i="6" s="1"/>
  <c r="K230" i="6" s="1"/>
  <c r="D231" i="6" s="1"/>
  <c r="K231" i="6" s="1"/>
  <c r="D232" i="6" s="1"/>
  <c r="K232" i="6" s="1"/>
  <c r="D233" i="6" s="1"/>
  <c r="K233" i="6" s="1"/>
  <c r="D234" i="6" s="1"/>
  <c r="K234" i="6" s="1"/>
  <c r="D235" i="6" s="1"/>
  <c r="K235" i="6" s="1"/>
  <c r="D236" i="6" s="1"/>
  <c r="K236" i="6" s="1"/>
  <c r="D237" i="6" s="1"/>
  <c r="K237" i="6" s="1"/>
  <c r="D238" i="6" s="1"/>
  <c r="K238" i="6" s="1"/>
  <c r="D239" i="6" s="1"/>
  <c r="K30" i="7"/>
  <c r="O570" i="10" s="1"/>
  <c r="F30" i="7"/>
  <c r="H570" i="10"/>
  <c r="K239" i="6" l="1"/>
  <c r="D31" i="7"/>
  <c r="H30" i="7"/>
  <c r="J570" i="10"/>
  <c r="J30" i="7" l="1"/>
  <c r="N570" i="10" s="1"/>
  <c r="L570" i="10"/>
  <c r="F31" i="7"/>
  <c r="H571" i="10"/>
  <c r="D240" i="6"/>
  <c r="K240" i="6" s="1"/>
  <c r="D241" i="6" s="1"/>
  <c r="K241" i="6" s="1"/>
  <c r="D242" i="6" s="1"/>
  <c r="K242" i="6" s="1"/>
  <c r="D243" i="6" s="1"/>
  <c r="K243" i="6" s="1"/>
  <c r="D244" i="6" s="1"/>
  <c r="K244" i="6" s="1"/>
  <c r="D245" i="6" s="1"/>
  <c r="K245" i="6" s="1"/>
  <c r="D246" i="6" s="1"/>
  <c r="K246" i="6" s="1"/>
  <c r="D247" i="6" s="1"/>
  <c r="K247" i="6" s="1"/>
  <c r="D248" i="6" s="1"/>
  <c r="K248" i="6" s="1"/>
  <c r="D249" i="6" s="1"/>
  <c r="K249" i="6" s="1"/>
  <c r="D250" i="6" s="1"/>
  <c r="K250" i="6" s="1"/>
  <c r="D251" i="6" s="1"/>
  <c r="K31" i="7"/>
  <c r="O571" i="10" s="1"/>
  <c r="H31" i="7" l="1"/>
  <c r="J571" i="10"/>
  <c r="D32" i="7"/>
  <c r="K251" i="6"/>
  <c r="D252" i="6" l="1"/>
  <c r="K252" i="6" s="1"/>
  <c r="D253" i="6" s="1"/>
  <c r="K253" i="6" s="1"/>
  <c r="D254" i="6" s="1"/>
  <c r="K254" i="6" s="1"/>
  <c r="D255" i="6" s="1"/>
  <c r="K255" i="6" s="1"/>
  <c r="D256" i="6" s="1"/>
  <c r="K256" i="6" s="1"/>
  <c r="D257" i="6" s="1"/>
  <c r="K257" i="6" s="1"/>
  <c r="D258" i="6" s="1"/>
  <c r="K258" i="6" s="1"/>
  <c r="D259" i="6" s="1"/>
  <c r="K259" i="6" s="1"/>
  <c r="D260" i="6" s="1"/>
  <c r="K260" i="6" s="1"/>
  <c r="D261" i="6" s="1"/>
  <c r="K261" i="6" s="1"/>
  <c r="D262" i="6" s="1"/>
  <c r="K262" i="6" s="1"/>
  <c r="D263" i="6" s="1"/>
  <c r="K32" i="7"/>
  <c r="O572" i="10" s="1"/>
  <c r="F32" i="7"/>
  <c r="H572" i="10"/>
  <c r="J31" i="7"/>
  <c r="N571" i="10" s="1"/>
  <c r="L571" i="10"/>
  <c r="H32" i="7" l="1"/>
  <c r="J572" i="10"/>
  <c r="K263" i="6"/>
  <c r="D33" i="7"/>
  <c r="F33" i="7" l="1"/>
  <c r="H573" i="10"/>
  <c r="K33" i="7"/>
  <c r="O573" i="10" s="1"/>
  <c r="D264" i="6"/>
  <c r="K264" i="6" s="1"/>
  <c r="D265" i="6" s="1"/>
  <c r="K265" i="6" s="1"/>
  <c r="D266" i="6" s="1"/>
  <c r="K266" i="6" s="1"/>
  <c r="D267" i="6" s="1"/>
  <c r="K267" i="6" s="1"/>
  <c r="D268" i="6" s="1"/>
  <c r="K268" i="6" s="1"/>
  <c r="D269" i="6" s="1"/>
  <c r="K269" i="6" s="1"/>
  <c r="D270" i="6" s="1"/>
  <c r="K270" i="6" s="1"/>
  <c r="D271" i="6" s="1"/>
  <c r="K271" i="6" s="1"/>
  <c r="D272" i="6" s="1"/>
  <c r="K272" i="6" s="1"/>
  <c r="D273" i="6" s="1"/>
  <c r="K273" i="6" s="1"/>
  <c r="D274" i="6" s="1"/>
  <c r="K274" i="6" s="1"/>
  <c r="D275" i="6" s="1"/>
  <c r="J32" i="7"/>
  <c r="L572" i="10"/>
  <c r="N572" i="10" l="1"/>
  <c r="L32" i="7"/>
  <c r="K275" i="6"/>
  <c r="D34" i="7"/>
  <c r="H33" i="7"/>
  <c r="J573" i="10"/>
  <c r="J33" i="7" l="1"/>
  <c r="N573" i="10" s="1"/>
  <c r="L573" i="10"/>
  <c r="F34" i="7"/>
  <c r="H574" i="10"/>
  <c r="D276" i="6"/>
  <c r="K276" i="6" s="1"/>
  <c r="D277" i="6" s="1"/>
  <c r="K277" i="6" s="1"/>
  <c r="D278" i="6" s="1"/>
  <c r="K278" i="6" s="1"/>
  <c r="D279" i="6" s="1"/>
  <c r="K279" i="6" s="1"/>
  <c r="D280" i="6" s="1"/>
  <c r="K280" i="6" s="1"/>
  <c r="D281" i="6" s="1"/>
  <c r="K281" i="6" s="1"/>
  <c r="D282" i="6" s="1"/>
  <c r="K282" i="6" s="1"/>
  <c r="D283" i="6" s="1"/>
  <c r="K283" i="6" s="1"/>
  <c r="D284" i="6" s="1"/>
  <c r="K284" i="6" s="1"/>
  <c r="D285" i="6" s="1"/>
  <c r="K285" i="6" s="1"/>
  <c r="D286" i="6" s="1"/>
  <c r="K286" i="6" s="1"/>
  <c r="D287" i="6" s="1"/>
  <c r="K34" i="7"/>
  <c r="O574" i="10" s="1"/>
  <c r="H34" i="7" l="1"/>
  <c r="J574" i="10"/>
  <c r="K287" i="6"/>
  <c r="D35" i="7"/>
  <c r="F35" i="7" l="1"/>
  <c r="H575" i="10"/>
  <c r="D288" i="6"/>
  <c r="K288" i="6" s="1"/>
  <c r="D289" i="6" s="1"/>
  <c r="K289" i="6" s="1"/>
  <c r="D290" i="6" s="1"/>
  <c r="K290" i="6" s="1"/>
  <c r="D291" i="6" s="1"/>
  <c r="K291" i="6" s="1"/>
  <c r="D292" i="6" s="1"/>
  <c r="K292" i="6" s="1"/>
  <c r="D293" i="6" s="1"/>
  <c r="K293" i="6" s="1"/>
  <c r="D294" i="6" s="1"/>
  <c r="K294" i="6" s="1"/>
  <c r="D295" i="6" s="1"/>
  <c r="K295" i="6" s="1"/>
  <c r="D296" i="6" s="1"/>
  <c r="K296" i="6" s="1"/>
  <c r="D297" i="6" s="1"/>
  <c r="K297" i="6" s="1"/>
  <c r="D298" i="6" s="1"/>
  <c r="K298" i="6" s="1"/>
  <c r="D299" i="6" s="1"/>
  <c r="K35" i="7"/>
  <c r="O575" i="10" s="1"/>
  <c r="J34" i="7"/>
  <c r="N574" i="10" s="1"/>
  <c r="L574" i="10"/>
  <c r="K299" i="6" l="1"/>
  <c r="D36" i="7"/>
  <c r="H35" i="7"/>
  <c r="J575" i="10"/>
  <c r="J35" i="7" l="1"/>
  <c r="N575" i="10" s="1"/>
  <c r="L575" i="10"/>
  <c r="F36" i="7"/>
  <c r="H576" i="10"/>
  <c r="D300" i="6"/>
  <c r="K300" i="6" s="1"/>
  <c r="D301" i="6" s="1"/>
  <c r="K301" i="6" s="1"/>
  <c r="D302" i="6" s="1"/>
  <c r="K302" i="6" s="1"/>
  <c r="D303" i="6" s="1"/>
  <c r="K303" i="6" s="1"/>
  <c r="D304" i="6" s="1"/>
  <c r="K304" i="6" s="1"/>
  <c r="D305" i="6" s="1"/>
  <c r="K305" i="6" s="1"/>
  <c r="D306" i="6" s="1"/>
  <c r="K306" i="6" s="1"/>
  <c r="D307" i="6" s="1"/>
  <c r="K307" i="6" s="1"/>
  <c r="D308" i="6" s="1"/>
  <c r="K308" i="6" s="1"/>
  <c r="D309" i="6" s="1"/>
  <c r="K309" i="6" s="1"/>
  <c r="D310" i="6" s="1"/>
  <c r="K310" i="6" s="1"/>
  <c r="D311" i="6" s="1"/>
  <c r="K36" i="7"/>
  <c r="O576" i="10" s="1"/>
  <c r="H36" i="7" l="1"/>
  <c r="J576" i="10"/>
  <c r="K311" i="6"/>
  <c r="D37" i="7"/>
  <c r="F37" i="7" l="1"/>
  <c r="H577" i="10"/>
  <c r="D312" i="6"/>
  <c r="K312" i="6" s="1"/>
  <c r="D313" i="6" s="1"/>
  <c r="K313" i="6" s="1"/>
  <c r="D314" i="6" s="1"/>
  <c r="K314" i="6" s="1"/>
  <c r="D315" i="6" s="1"/>
  <c r="K315" i="6" s="1"/>
  <c r="D316" i="6" s="1"/>
  <c r="K316" i="6" s="1"/>
  <c r="D317" i="6" s="1"/>
  <c r="K317" i="6" s="1"/>
  <c r="D318" i="6" s="1"/>
  <c r="K318" i="6" s="1"/>
  <c r="D319" i="6" s="1"/>
  <c r="K319" i="6" s="1"/>
  <c r="D320" i="6" s="1"/>
  <c r="K320" i="6" s="1"/>
  <c r="D321" i="6" s="1"/>
  <c r="K321" i="6" s="1"/>
  <c r="D322" i="6" s="1"/>
  <c r="K322" i="6" s="1"/>
  <c r="D323" i="6" s="1"/>
  <c r="K37" i="7"/>
  <c r="O577" i="10" s="1"/>
  <c r="J36" i="7"/>
  <c r="N576" i="10" s="1"/>
  <c r="L576" i="10"/>
  <c r="K323" i="6" l="1"/>
  <c r="D38" i="7"/>
  <c r="H37" i="7"/>
  <c r="J577" i="10"/>
  <c r="J37" i="7" l="1"/>
  <c r="N577" i="10" s="1"/>
  <c r="L577" i="10"/>
  <c r="F38" i="7"/>
  <c r="H578" i="10"/>
  <c r="D324" i="6"/>
  <c r="K324" i="6" s="1"/>
  <c r="D325" i="6" s="1"/>
  <c r="K325" i="6" s="1"/>
  <c r="D326" i="6" s="1"/>
  <c r="K326" i="6" s="1"/>
  <c r="D327" i="6" s="1"/>
  <c r="K327" i="6" s="1"/>
  <c r="D328" i="6" s="1"/>
  <c r="K328" i="6" s="1"/>
  <c r="D329" i="6" s="1"/>
  <c r="K329" i="6" s="1"/>
  <c r="D330" i="6" s="1"/>
  <c r="K330" i="6" s="1"/>
  <c r="D331" i="6" s="1"/>
  <c r="K331" i="6" s="1"/>
  <c r="D332" i="6" s="1"/>
  <c r="K332" i="6" s="1"/>
  <c r="D333" i="6" s="1"/>
  <c r="K333" i="6" s="1"/>
  <c r="D334" i="6" s="1"/>
  <c r="K334" i="6" s="1"/>
  <c r="D335" i="6" s="1"/>
  <c r="K38" i="7"/>
  <c r="O578" i="10" s="1"/>
  <c r="H38" i="7" l="1"/>
  <c r="J578" i="10"/>
  <c r="D39" i="7"/>
  <c r="K335" i="6"/>
  <c r="D336" i="6" l="1"/>
  <c r="K336" i="6" s="1"/>
  <c r="D337" i="6" s="1"/>
  <c r="K337" i="6" s="1"/>
  <c r="D338" i="6" s="1"/>
  <c r="K338" i="6" s="1"/>
  <c r="D339" i="6" s="1"/>
  <c r="K339" i="6" s="1"/>
  <c r="D340" i="6" s="1"/>
  <c r="K340" i="6" s="1"/>
  <c r="D341" i="6" s="1"/>
  <c r="K341" i="6" s="1"/>
  <c r="D342" i="6" s="1"/>
  <c r="K342" i="6" s="1"/>
  <c r="D343" i="6" s="1"/>
  <c r="K343" i="6" s="1"/>
  <c r="D344" i="6" s="1"/>
  <c r="K344" i="6" s="1"/>
  <c r="D345" i="6" s="1"/>
  <c r="K345" i="6" s="1"/>
  <c r="D346" i="6" s="1"/>
  <c r="K346" i="6" s="1"/>
  <c r="D347" i="6" s="1"/>
  <c r="K39" i="7"/>
  <c r="O579" i="10" s="1"/>
  <c r="F39" i="7"/>
  <c r="H579" i="10"/>
  <c r="J38" i="7"/>
  <c r="N578" i="10" s="1"/>
  <c r="L578" i="10"/>
  <c r="H39" i="7" l="1"/>
  <c r="J579" i="10"/>
  <c r="D40" i="7"/>
  <c r="K347" i="6"/>
  <c r="K40" i="7" l="1"/>
  <c r="O580" i="10" s="1"/>
  <c r="D348" i="6"/>
  <c r="K348" i="6" s="1"/>
  <c r="D349" i="6" s="1"/>
  <c r="K349" i="6" s="1"/>
  <c r="D350" i="6" s="1"/>
  <c r="K350" i="6" s="1"/>
  <c r="D351" i="6" s="1"/>
  <c r="K351" i="6" s="1"/>
  <c r="D352" i="6" s="1"/>
  <c r="K352" i="6" s="1"/>
  <c r="D353" i="6" s="1"/>
  <c r="K353" i="6" s="1"/>
  <c r="D354" i="6" s="1"/>
  <c r="K354" i="6" s="1"/>
  <c r="D355" i="6" s="1"/>
  <c r="K355" i="6" s="1"/>
  <c r="D356" i="6" s="1"/>
  <c r="K356" i="6" s="1"/>
  <c r="D357" i="6" s="1"/>
  <c r="K357" i="6" s="1"/>
  <c r="D358" i="6" s="1"/>
  <c r="K358" i="6" s="1"/>
  <c r="D359" i="6" s="1"/>
  <c r="F40" i="7"/>
  <c r="H580" i="10"/>
  <c r="J39" i="7"/>
  <c r="N579" i="10" s="1"/>
  <c r="L579" i="10"/>
  <c r="H40" i="7" l="1"/>
  <c r="J580" i="10"/>
  <c r="K359" i="6"/>
  <c r="D41" i="7"/>
  <c r="F41" i="7" l="1"/>
  <c r="H581" i="10"/>
  <c r="K41" i="7"/>
  <c r="O581" i="10" s="1"/>
  <c r="D360" i="6"/>
  <c r="K360" i="6" s="1"/>
  <c r="D361" i="6" s="1"/>
  <c r="K361" i="6" s="1"/>
  <c r="D362" i="6" s="1"/>
  <c r="K362" i="6" s="1"/>
  <c r="D363" i="6" s="1"/>
  <c r="K363" i="6" s="1"/>
  <c r="D364" i="6" s="1"/>
  <c r="K364" i="6" s="1"/>
  <c r="D365" i="6" s="1"/>
  <c r="K365" i="6" s="1"/>
  <c r="D366" i="6" s="1"/>
  <c r="K366" i="6" s="1"/>
  <c r="D367" i="6" s="1"/>
  <c r="K367" i="6" s="1"/>
  <c r="D368" i="6" s="1"/>
  <c r="K368" i="6" s="1"/>
  <c r="D369" i="6" s="1"/>
  <c r="K369" i="6" s="1"/>
  <c r="D370" i="6" s="1"/>
  <c r="K370" i="6" s="1"/>
  <c r="D371" i="6" s="1"/>
  <c r="J40" i="7"/>
  <c r="N580" i="10" s="1"/>
  <c r="L580" i="10"/>
  <c r="K371" i="6" l="1"/>
  <c r="K42" i="7" s="1"/>
  <c r="O582" i="10" s="1"/>
  <c r="D42" i="7"/>
  <c r="H41" i="7"/>
  <c r="J581" i="10"/>
  <c r="J41" i="7" l="1"/>
  <c r="N581" i="10" s="1"/>
  <c r="L581" i="10"/>
  <c r="F42" i="7"/>
  <c r="H582" i="10"/>
  <c r="H42" i="7" l="1"/>
  <c r="J582" i="10"/>
  <c r="J42" i="7" l="1"/>
  <c r="L582" i="10"/>
  <c r="L42" i="7" l="1"/>
  <c r="N582" i="10"/>
</calcChain>
</file>

<file path=xl/sharedStrings.xml><?xml version="1.0" encoding="utf-8"?>
<sst xmlns="http://schemas.openxmlformats.org/spreadsheetml/2006/main" count="303" uniqueCount="170">
  <si>
    <t>Buy and Hold Real Estate Calculator</t>
  </si>
  <si>
    <t xml:space="preserve">This workbook is used to valuate real estate properties for a buy and hold investor.  </t>
  </si>
  <si>
    <t>The analyst needs to only follow the instructions in the three green colored sheets.</t>
  </si>
  <si>
    <t>Once all information is updated in the three green sheets the report will be generated</t>
  </si>
  <si>
    <t>in the purple/pink sheet (4. Report).   This sheet will also allow the user to generate</t>
  </si>
  <si>
    <t>a pdf report of the analysis.  This report can be used for hard money lenders, soft</t>
  </si>
  <si>
    <t>money lenders, or banks, as well as providing information to clients on a potential</t>
  </si>
  <si>
    <t xml:space="preserve">real estate deal.  </t>
  </si>
  <si>
    <t>The calculator was designed by John Steiner founder of Steiner Foresti Investment, LLC.</t>
  </si>
  <si>
    <t>https:\\www.steinerforesti.com</t>
  </si>
  <si>
    <t>Property Information</t>
  </si>
  <si>
    <t>Report Title:</t>
  </si>
  <si>
    <t xml:space="preserve">Property Address: </t>
  </si>
  <si>
    <t>City:</t>
  </si>
  <si>
    <t>State:</t>
  </si>
  <si>
    <t>Property Taxes:</t>
  </si>
  <si>
    <t>Property Description:</t>
  </si>
  <si>
    <t>Purchase Information</t>
  </si>
  <si>
    <t>Asking Price ($):</t>
  </si>
  <si>
    <t>Discount (%):</t>
  </si>
  <si>
    <t>Sale Price ($):</t>
  </si>
  <si>
    <t>Down Payment ($):</t>
  </si>
  <si>
    <t>Down Payment (%):</t>
  </si>
  <si>
    <t>Funding Amount ($):</t>
  </si>
  <si>
    <t>Funding Amount (%):</t>
  </si>
  <si>
    <t>Funding Term (years):</t>
  </si>
  <si>
    <t>Interest Rate (%):</t>
  </si>
  <si>
    <t>After Repair Value ($):</t>
  </si>
  <si>
    <t>Estimated Repair Cost ($):</t>
  </si>
  <si>
    <t>Purchase Closing Cost ($):</t>
  </si>
  <si>
    <t>Hard Money Points :</t>
  </si>
  <si>
    <t>Pay For Loan Points and Fees Out of Pocket?:</t>
  </si>
  <si>
    <t>Only Pay Interest?:</t>
  </si>
  <si>
    <t>Cap Rate (%):</t>
  </si>
  <si>
    <t>Rent Information</t>
  </si>
  <si>
    <t>Total Gross Income ($):</t>
  </si>
  <si>
    <t>Other Income ($):</t>
  </si>
  <si>
    <t>Fixed Expenses</t>
  </si>
  <si>
    <t>Electric ($):</t>
  </si>
  <si>
    <t>Water &amp; Sewer ($):</t>
  </si>
  <si>
    <t>Garbage ($):</t>
  </si>
  <si>
    <t>HOA ($):</t>
  </si>
  <si>
    <t>Insurance ($):</t>
  </si>
  <si>
    <t>Taxes ($):</t>
  </si>
  <si>
    <t>Other Expenses ($):</t>
  </si>
  <si>
    <t>Variable Landlord Paid Expenses</t>
  </si>
  <si>
    <t>Vacancy (%):</t>
  </si>
  <si>
    <t>Repairs &amp; Maintenance (%):</t>
  </si>
  <si>
    <t>Management Fees (%):</t>
  </si>
  <si>
    <t>Future Assumptions</t>
  </si>
  <si>
    <t>Annual PV Growth (%):</t>
  </si>
  <si>
    <t>Annual Expenses Growth (%):</t>
  </si>
  <si>
    <t>Sales Expenses (%):</t>
  </si>
  <si>
    <t>Buy and Hold Analysis Report</t>
  </si>
  <si>
    <t>Zip Code:</t>
  </si>
  <si>
    <t>Debt Information</t>
  </si>
  <si>
    <t>yes</t>
  </si>
  <si>
    <t>no</t>
  </si>
  <si>
    <t>Income Growth (%):</t>
  </si>
  <si>
    <t>Cap. Ex. (%):</t>
  </si>
  <si>
    <t>Total Rental Income ($):</t>
  </si>
  <si>
    <t>PMI ($):</t>
  </si>
  <si>
    <t>Payment Number</t>
  </si>
  <si>
    <t>Year</t>
  </si>
  <si>
    <t>Starting Princniple</t>
  </si>
  <si>
    <t>Payment Amount</t>
  </si>
  <si>
    <t>Initial Principle ($):</t>
  </si>
  <si>
    <t>Annual Interest Rate (%):</t>
  </si>
  <si>
    <t>Term (year):</t>
  </si>
  <si>
    <t>Interest Paid</t>
  </si>
  <si>
    <t>Principle Paydown</t>
  </si>
  <si>
    <t>Total Interest Paid</t>
  </si>
  <si>
    <t>Total Principle Paydown</t>
  </si>
  <si>
    <t>Loan Balance Remaining</t>
  </si>
  <si>
    <t>Total Payment Paid</t>
  </si>
  <si>
    <t>Debt Repayment Plan Yearly Outlook</t>
  </si>
  <si>
    <t>Debt Repayment Plan Monthly Payments</t>
  </si>
  <si>
    <t>Address:</t>
  </si>
  <si>
    <t>Monthly Expenses</t>
  </si>
  <si>
    <t>Purchase Price</t>
  </si>
  <si>
    <t>Monthly Income</t>
  </si>
  <si>
    <t>Monthly Cash Flow</t>
  </si>
  <si>
    <t>Pro Forma Cap</t>
  </si>
  <si>
    <t>NOI</t>
  </si>
  <si>
    <t>Total Cash Needed</t>
  </si>
  <si>
    <t>Cash on Cash</t>
  </si>
  <si>
    <t>Purchase Cap Rate</t>
  </si>
  <si>
    <t>Purchase Closing Costs</t>
  </si>
  <si>
    <t>Estimated Repairs</t>
  </si>
  <si>
    <t>Total Project Cost</t>
  </si>
  <si>
    <t>After Repair Value</t>
  </si>
  <si>
    <t>Down Payment</t>
  </si>
  <si>
    <t>Loan Amount</t>
  </si>
  <si>
    <t>Loan Period</t>
  </si>
  <si>
    <t>Loan Interest Rate</t>
  </si>
  <si>
    <t>Monthly P&amp;I</t>
  </si>
  <si>
    <t>Loan Points Fee</t>
  </si>
  <si>
    <t>Other Money Fees ($):</t>
  </si>
  <si>
    <t>Other Money Fees</t>
  </si>
  <si>
    <t>Total Fixed Expenses</t>
  </si>
  <si>
    <t>Total Variable Expenses</t>
  </si>
  <si>
    <t>Total Monthly Expenses</t>
  </si>
  <si>
    <t>Monthly Expense &amp; P&amp;I</t>
  </si>
  <si>
    <t>Total Monthly Income</t>
  </si>
  <si>
    <t>Other Monthly Income</t>
  </si>
  <si>
    <t>Total Rental Income</t>
  </si>
  <si>
    <t>50% Rule</t>
  </si>
  <si>
    <t>Total Funding ($):</t>
  </si>
  <si>
    <t>Financial Snapshot:</t>
  </si>
  <si>
    <t>Financial Information:</t>
  </si>
  <si>
    <t>2% Rule</t>
  </si>
  <si>
    <t>Total Initial Equity</t>
  </si>
  <si>
    <t>Typical Cap Rate</t>
  </si>
  <si>
    <t>Gross Rent Multiplier</t>
  </si>
  <si>
    <t>Debt Coverage Ratio</t>
  </si>
  <si>
    <t>ARV</t>
  </si>
  <si>
    <t>Pro Forma Statement:</t>
  </si>
  <si>
    <t>Expense Increase</t>
  </si>
  <si>
    <t>Income Increase</t>
  </si>
  <si>
    <t>Property Value Increase</t>
  </si>
  <si>
    <t>Total Annual Income</t>
  </si>
  <si>
    <t>Total Expenses</t>
  </si>
  <si>
    <t>Operating Expenses</t>
  </si>
  <si>
    <t>Debt Payments</t>
  </si>
  <si>
    <t>Total Annual Cash Flow</t>
  </si>
  <si>
    <t>Cash on Cash ROI</t>
  </si>
  <si>
    <t>Property Value</t>
  </si>
  <si>
    <t>Equity</t>
  </si>
  <si>
    <t>Loan Balance</t>
  </si>
  <si>
    <t>Total Profit if Sold</t>
  </si>
  <si>
    <t>Annualized Total Return</t>
  </si>
  <si>
    <t>30 Year Pro Forma</t>
  </si>
  <si>
    <t>Initial Investment (Cash Needed)</t>
  </si>
  <si>
    <t>Supporting Graphs:</t>
  </si>
  <si>
    <t>Annual Debt Repayment Plan:</t>
  </si>
  <si>
    <t>Property Information:</t>
  </si>
  <si>
    <t>Santa Maria</t>
  </si>
  <si>
    <t>CA</t>
  </si>
  <si>
    <t>702 S Lincoln St. &amp; 704 S Lincoln St.</t>
  </si>
  <si>
    <t xml:space="preserve">  After 7 years, the owner will have the option to end the seller contract for the remaining principle remaining in a lump sum payment.</t>
  </si>
  <si>
    <t>These multi-family homes are located at 702 and 704 S Lincoln St, Santa Maria, CA.702 &amp; 704 S Lincoln St is in Santa Maria, CA and in ZIP code 93458. This property has a lot size of 0.41 acres.  Home Details for 702 &amp; 704 S Lincoln St: 
Multi Family:  0.41 acres lot sizes
County: Santa Barbara
Tax Rate Code Area: 3-000
Land Use Code: Apartment house (5+ units)</t>
  </si>
  <si>
    <t>Give Detailed Information on Investor's?</t>
  </si>
  <si>
    <t>Yes</t>
  </si>
  <si>
    <t>No</t>
  </si>
  <si>
    <t>Name</t>
  </si>
  <si>
    <t>GP/LP</t>
  </si>
  <si>
    <t>Amount Invested</t>
  </si>
  <si>
    <t>Ownership Percentage</t>
  </si>
  <si>
    <t>Investment from GP?</t>
  </si>
  <si>
    <t>Is GP self managing property?</t>
  </si>
  <si>
    <t>Total Investment Amount</t>
  </si>
  <si>
    <t>Checks</t>
  </si>
  <si>
    <t xml:space="preserve">Annual Cash Flow </t>
  </si>
  <si>
    <t>Distrbutions</t>
  </si>
  <si>
    <t>Annual Cash Distribution to Investors</t>
  </si>
  <si>
    <t>Annual Cash on Cash Return</t>
  </si>
  <si>
    <t>Will Investors Receive Equity Stakes?</t>
  </si>
  <si>
    <t>Investor Summary</t>
  </si>
  <si>
    <t xml:space="preserve">*Sudden drop in the expenses is due to the seller financing coming to completion. </t>
  </si>
  <si>
    <t>702 &amp; 704 S Lincoln St. Santa Maria, CA 93458
 Ten Unit Investment Property</t>
  </si>
  <si>
    <t>Monthly Expense and P&amp;I</t>
  </si>
  <si>
    <t>Assumptions:</t>
  </si>
  <si>
    <t>Investor Split Information:</t>
  </si>
  <si>
    <t>Average Monthly Cash Return per Year</t>
  </si>
  <si>
    <t>Yearly Cash Flows</t>
  </si>
  <si>
    <t>John Steiner</t>
  </si>
  <si>
    <t>Steiner Foresti Investment, LLC</t>
  </si>
  <si>
    <t>(908)248-2447</t>
  </si>
  <si>
    <t>john.steiner@steinerforesti.com</t>
  </si>
  <si>
    <t>IGNORE THIS PAGE - NOT NEEDED FOR THE GUI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</si>
</sst>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&quot; pt&quot;"/>
    <numFmt numFmtId="166" formatCode="0&quot; years&quot;"/>
    <numFmt numFmtId="167" formatCode="0.00&quot; principle paid in interest&quot;"/>
    <numFmt numFmtId="168" formatCode="&quot;Year &quot;0"/>
    <numFmt numFmtId="169" formatCode="0.0%"/>
    <numFmt numFmtId="170" formatCode="_(* #,##0_);_(* \(#,##0\);_(* &quot;-&quot;??_);_(@_)"/>
    <numFmt numFmtId="171" formatCode="_(&quot;$&quot;* #,##0_);_(&quot;$&quot;* \(#,##0\);_(&quot;$&quot;* &quot;-&quot;??_);_(@_)"/>
    <numFmt numFmtId="172" formatCode="&quot;$&quot;#,##0"/>
    <numFmt numFmtId="173" formatCode="0\ &quot;Years&quot;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26"/>
      <color theme="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u/>
      <sz val="18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18"/>
      <color theme="5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48"/>
      <color rgb="FF51ACEA"/>
      <name val="Calibri"/>
      <family val="2"/>
      <scheme val="minor"/>
    </font>
    <font>
      <sz val="11"/>
      <color rgb="FF51ACEA"/>
      <name val="Calibri"/>
      <family val="2"/>
      <scheme val="minor"/>
    </font>
    <font>
      <b/>
      <sz val="28"/>
      <color rgb="FF51ACEA"/>
      <name val="Calibri"/>
      <family val="2"/>
      <scheme val="minor"/>
    </font>
    <font>
      <b/>
      <sz val="18"/>
      <color rgb="FF51ACEA"/>
      <name val="Calibri"/>
      <family val="2"/>
      <scheme val="minor"/>
    </font>
    <font>
      <b/>
      <sz val="72"/>
      <color rgb="FF161314"/>
      <name val="Calibri"/>
      <family val="2"/>
      <scheme val="minor"/>
    </font>
    <font>
      <b/>
      <sz val="28"/>
      <color theme="5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48"/>
      <color theme="0" tint="-4.9989318521683403E-2"/>
      <name val="Calibri"/>
      <family val="2"/>
      <scheme val="minor"/>
    </font>
    <font>
      <b/>
      <u/>
      <sz val="48"/>
      <color theme="0" tint="-4.9989318521683403E-2"/>
      <name val="Calibri"/>
      <family val="2"/>
      <scheme val="minor"/>
    </font>
    <font>
      <u/>
      <sz val="48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8"/>
      <color rgb="FFA9519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1ACEA"/>
        <bgColor indexed="64"/>
      </patternFill>
    </fill>
    <fill>
      <patternFill patternType="solid">
        <fgColor rgb="FF16131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8999908444471571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44A55C"/>
        <bgColor indexed="64"/>
      </patternFill>
    </fill>
    <fill>
      <patternFill patternType="solid">
        <fgColor rgb="FFDD90CE"/>
        <bgColor indexed="64"/>
      </patternFill>
    </fill>
    <fill>
      <patternFill patternType="solid">
        <fgColor theme="0" tint="-0.14999847407452621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rgb="FF51ACEA"/>
      </left>
      <right/>
      <top style="thin">
        <color rgb="FF51ACEA"/>
      </top>
      <bottom/>
      <diagonal/>
    </border>
    <border>
      <left/>
      <right/>
      <top style="thin">
        <color rgb="FF51ACEA"/>
      </top>
      <bottom/>
      <diagonal/>
    </border>
    <border>
      <left/>
      <right style="thin">
        <color rgb="FF51ACEA"/>
      </right>
      <top style="thin">
        <color rgb="FF51ACEA"/>
      </top>
      <bottom/>
      <diagonal/>
    </border>
    <border>
      <left style="thin">
        <color rgb="FF51ACEA"/>
      </left>
      <right/>
      <top/>
      <bottom/>
      <diagonal/>
    </border>
    <border>
      <left/>
      <right style="thin">
        <color rgb="FF51ACEA"/>
      </right>
      <top/>
      <bottom/>
      <diagonal/>
    </border>
    <border>
      <left style="thin">
        <color rgb="FF51ACEA"/>
      </left>
      <right/>
      <top/>
      <bottom style="thin">
        <color rgb="FF51ACEA"/>
      </bottom>
      <diagonal/>
    </border>
    <border>
      <left/>
      <right/>
      <top/>
      <bottom style="thin">
        <color rgb="FF51ACEA"/>
      </bottom>
      <diagonal/>
    </border>
    <border>
      <left/>
      <right style="thin">
        <color rgb="FF51ACEA"/>
      </right>
      <top/>
      <bottom style="thin">
        <color rgb="FF51ACEA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508">
    <xf numFmtId="0" fontId="0" fillId="0" borderId="0" xfId="0"/>
    <xf numFmtId="0" fontId="0" fillId="6" borderId="0" xfId="0" applyFill="1"/>
    <xf numFmtId="0" fontId="0" fillId="6" borderId="0" xfId="0" applyFill="1" applyAlignment="1">
      <alignment horizontal="left"/>
    </xf>
    <xf numFmtId="0" fontId="0" fillId="6" borderId="0" xfId="0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0" fillId="6" borderId="0" xfId="0" applyFill="1" applyAlignment="1">
      <alignment horizontal="left" vertical="center" wrapText="1"/>
    </xf>
    <xf numFmtId="164" fontId="0" fillId="6" borderId="0" xfId="0" applyNumberFormat="1" applyFill="1" applyAlignment="1">
      <alignment horizontal="left" vertical="center"/>
    </xf>
    <xf numFmtId="0" fontId="0" fillId="6" borderId="12" xfId="0" applyFill="1" applyBorder="1" applyAlignment="1">
      <alignment horizontal="left" vertical="center"/>
    </xf>
    <xf numFmtId="1" fontId="0" fillId="6" borderId="13" xfId="0" applyNumberFormat="1" applyFill="1" applyBorder="1" applyAlignment="1">
      <alignment horizontal="left" vertical="center"/>
    </xf>
    <xf numFmtId="164" fontId="0" fillId="6" borderId="13" xfId="0" applyNumberFormat="1" applyFill="1" applyBorder="1" applyAlignment="1">
      <alignment horizontal="left" vertical="center"/>
    </xf>
    <xf numFmtId="164" fontId="0" fillId="6" borderId="14" xfId="0" applyNumberFormat="1" applyFill="1" applyBorder="1" applyAlignment="1">
      <alignment horizontal="left" vertical="center"/>
    </xf>
    <xf numFmtId="0" fontId="0" fillId="6" borderId="15" xfId="0" applyFill="1" applyBorder="1" applyAlignment="1">
      <alignment horizontal="left" vertical="center"/>
    </xf>
    <xf numFmtId="1" fontId="0" fillId="6" borderId="0" xfId="0" applyNumberFormat="1" applyFill="1" applyBorder="1" applyAlignment="1">
      <alignment horizontal="left" vertical="center"/>
    </xf>
    <xf numFmtId="164" fontId="0" fillId="6" borderId="0" xfId="0" applyNumberFormat="1" applyFill="1" applyBorder="1" applyAlignment="1">
      <alignment horizontal="left" vertical="center"/>
    </xf>
    <xf numFmtId="164" fontId="0" fillId="6" borderId="16" xfId="0" applyNumberFormat="1" applyFill="1" applyBorder="1" applyAlignment="1">
      <alignment horizontal="left" vertical="center"/>
    </xf>
    <xf numFmtId="0" fontId="0" fillId="6" borderId="17" xfId="0" applyFill="1" applyBorder="1" applyAlignment="1">
      <alignment horizontal="left" vertical="center"/>
    </xf>
    <xf numFmtId="1" fontId="0" fillId="6" borderId="18" xfId="0" applyNumberFormat="1" applyFill="1" applyBorder="1" applyAlignment="1">
      <alignment horizontal="left" vertical="center"/>
    </xf>
    <xf numFmtId="164" fontId="0" fillId="6" borderId="18" xfId="0" applyNumberFormat="1" applyFill="1" applyBorder="1" applyAlignment="1">
      <alignment horizontal="left" vertical="center"/>
    </xf>
    <xf numFmtId="164" fontId="0" fillId="6" borderId="19" xfId="0" applyNumberFormat="1" applyFill="1" applyBorder="1" applyAlignment="1">
      <alignment horizontal="left" vertical="center"/>
    </xf>
    <xf numFmtId="164" fontId="0" fillId="4" borderId="11" xfId="2" applyNumberFormat="1" applyFont="1" applyFill="1" applyBorder="1" applyAlignment="1">
      <alignment horizontal="left" vertical="center"/>
    </xf>
    <xf numFmtId="10" fontId="0" fillId="4" borderId="11" xfId="0" applyNumberFormat="1" applyFill="1" applyBorder="1" applyAlignment="1">
      <alignment horizontal="left" vertical="center"/>
    </xf>
    <xf numFmtId="166" fontId="0" fillId="4" borderId="11" xfId="0" applyNumberFormat="1" applyFill="1" applyBorder="1" applyAlignment="1">
      <alignment horizontal="left" vertical="center"/>
    </xf>
    <xf numFmtId="0" fontId="0" fillId="8" borderId="23" xfId="0" applyFill="1" applyBorder="1" applyAlignment="1">
      <alignment horizontal="left" vertical="center" wrapText="1"/>
    </xf>
    <xf numFmtId="167" fontId="4" fillId="6" borderId="0" xfId="0" applyNumberFormat="1" applyFont="1" applyFill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8" borderId="24" xfId="0" applyFill="1" applyBorder="1" applyAlignment="1">
      <alignment horizontal="left" vertical="center" wrapText="1"/>
    </xf>
    <xf numFmtId="164" fontId="2" fillId="6" borderId="0" xfId="1" applyNumberFormat="1" applyFill="1" applyAlignment="1">
      <alignment horizontal="left"/>
    </xf>
    <xf numFmtId="167" fontId="4" fillId="6" borderId="0" xfId="0" applyNumberFormat="1" applyFont="1" applyFill="1" applyBorder="1" applyAlignment="1">
      <alignment horizontal="left" vertical="center"/>
    </xf>
    <xf numFmtId="168" fontId="0" fillId="8" borderId="24" xfId="0" applyNumberFormat="1" applyFill="1" applyBorder="1" applyAlignment="1">
      <alignment horizontal="left" vertical="center" wrapText="1"/>
    </xf>
    <xf numFmtId="168" fontId="0" fillId="8" borderId="23" xfId="0" applyNumberFormat="1" applyFill="1" applyBorder="1" applyAlignment="1">
      <alignment horizontal="left" vertical="center" wrapText="1"/>
    </xf>
    <xf numFmtId="0" fontId="0" fillId="6" borderId="15" xfId="0" applyFill="1" applyBorder="1" applyAlignment="1">
      <alignment horizontal="left" vertical="center" indent="1"/>
    </xf>
    <xf numFmtId="0" fontId="0" fillId="6" borderId="21" xfId="0" applyFill="1" applyBorder="1" applyAlignment="1">
      <alignment horizontal="left" vertical="center" indent="1"/>
    </xf>
    <xf numFmtId="164" fontId="0" fillId="6" borderId="20" xfId="0" applyNumberFormat="1" applyFill="1" applyBorder="1" applyAlignment="1">
      <alignment horizontal="left" vertical="center"/>
    </xf>
    <xf numFmtId="10" fontId="0" fillId="6" borderId="0" xfId="0" applyNumberFormat="1" applyFill="1" applyBorder="1" applyAlignment="1">
      <alignment horizontal="left" vertical="center"/>
    </xf>
    <xf numFmtId="0" fontId="0" fillId="6" borderId="21" xfId="0" applyFill="1" applyBorder="1" applyAlignment="1">
      <alignment horizontal="left" vertical="center"/>
    </xf>
    <xf numFmtId="164" fontId="4" fillId="6" borderId="16" xfId="0" applyNumberFormat="1" applyFont="1" applyFill="1" applyBorder="1" applyAlignment="1">
      <alignment horizontal="left" vertical="center"/>
    </xf>
    <xf numFmtId="164" fontId="0" fillId="6" borderId="22" xfId="0" applyNumberFormat="1" applyFill="1" applyBorder="1" applyAlignment="1">
      <alignment horizontal="left" vertical="center"/>
    </xf>
    <xf numFmtId="167" fontId="4" fillId="6" borderId="16" xfId="0" applyNumberFormat="1" applyFont="1" applyFill="1" applyBorder="1" applyAlignment="1">
      <alignment horizontal="left" vertical="center"/>
    </xf>
    <xf numFmtId="10" fontId="0" fillId="6" borderId="16" xfId="0" applyNumberFormat="1" applyFill="1" applyBorder="1" applyAlignment="1">
      <alignment horizontal="left" vertical="center"/>
    </xf>
    <xf numFmtId="10" fontId="0" fillId="6" borderId="18" xfId="0" applyNumberFormat="1" applyFill="1" applyBorder="1" applyAlignment="1">
      <alignment horizontal="left" vertical="center"/>
    </xf>
    <xf numFmtId="10" fontId="0" fillId="6" borderId="19" xfId="0" applyNumberFormat="1" applyFill="1" applyBorder="1" applyAlignment="1">
      <alignment horizontal="left" vertical="center"/>
    </xf>
    <xf numFmtId="0" fontId="0" fillId="9" borderId="0" xfId="0" applyFill="1" applyAlignment="1">
      <alignment horizontal="left"/>
    </xf>
    <xf numFmtId="0" fontId="0" fillId="9" borderId="0" xfId="0" applyFill="1" applyAlignment="1">
      <alignment horizontal="left" vertical="center"/>
    </xf>
    <xf numFmtId="0" fontId="0" fillId="9" borderId="0" xfId="0" applyFill="1"/>
    <xf numFmtId="164" fontId="0" fillId="9" borderId="0" xfId="0" applyNumberFormat="1" applyFill="1" applyAlignment="1">
      <alignment horizontal="left" vertical="center"/>
    </xf>
    <xf numFmtId="0" fontId="0" fillId="9" borderId="4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9" borderId="30" xfId="0" applyFill="1" applyBorder="1" applyAlignment="1">
      <alignment horizontal="left" vertical="center"/>
    </xf>
    <xf numFmtId="0" fontId="0" fillId="9" borderId="20" xfId="0" applyFill="1" applyBorder="1" applyAlignment="1">
      <alignment horizontal="left" vertical="center"/>
    </xf>
    <xf numFmtId="0" fontId="0" fillId="9" borderId="31" xfId="0" applyFill="1" applyBorder="1" applyAlignment="1">
      <alignment horizontal="left" vertical="center"/>
    </xf>
    <xf numFmtId="0" fontId="0" fillId="9" borderId="0" xfId="0" applyFill="1" applyAlignment="1">
      <alignment horizontal="left" wrapText="1"/>
    </xf>
    <xf numFmtId="0" fontId="0" fillId="9" borderId="0" xfId="0" applyFill="1" applyAlignment="1">
      <alignment wrapText="1"/>
    </xf>
    <xf numFmtId="44" fontId="0" fillId="9" borderId="0" xfId="0" applyNumberFormat="1" applyFill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0" fillId="7" borderId="0" xfId="0" applyFill="1" applyAlignment="1">
      <alignment horizontal="left"/>
    </xf>
    <xf numFmtId="0" fontId="0" fillId="7" borderId="0" xfId="0" applyFill="1" applyAlignment="1">
      <alignment horizontal="left" vertical="center"/>
    </xf>
    <xf numFmtId="0" fontId="4" fillId="5" borderId="23" xfId="0" applyFont="1" applyFill="1" applyBorder="1" applyAlignment="1">
      <alignment horizontal="left" wrapText="1"/>
    </xf>
    <xf numFmtId="0" fontId="4" fillId="10" borderId="24" xfId="0" applyFont="1" applyFill="1" applyBorder="1" applyAlignment="1">
      <alignment horizontal="left" wrapText="1"/>
    </xf>
    <xf numFmtId="0" fontId="4" fillId="10" borderId="34" xfId="0" applyFont="1" applyFill="1" applyBorder="1" applyAlignment="1">
      <alignment horizontal="left" wrapText="1"/>
    </xf>
    <xf numFmtId="0" fontId="4" fillId="10" borderId="25" xfId="0" applyFont="1" applyFill="1" applyBorder="1" applyAlignment="1">
      <alignment horizontal="left" wrapText="1"/>
    </xf>
    <xf numFmtId="0" fontId="4" fillId="10" borderId="36" xfId="0" applyFont="1" applyFill="1" applyBorder="1" applyAlignment="1">
      <alignment horizontal="left" wrapText="1"/>
    </xf>
    <xf numFmtId="10" fontId="0" fillId="2" borderId="24" xfId="0" applyNumberFormat="1" applyFill="1" applyBorder="1" applyAlignment="1">
      <alignment horizontal="left" vertical="center"/>
    </xf>
    <xf numFmtId="0" fontId="0" fillId="4" borderId="35" xfId="0" applyFill="1" applyBorder="1" applyAlignment="1">
      <alignment horizontal="left" vertical="center"/>
    </xf>
    <xf numFmtId="164" fontId="0" fillId="2" borderId="24" xfId="0" applyNumberFormat="1" applyFill="1" applyBorder="1" applyAlignment="1">
      <alignment horizontal="left" vertical="center"/>
    </xf>
    <xf numFmtId="164" fontId="0" fillId="5" borderId="8" xfId="0" applyNumberFormat="1" applyFill="1" applyBorder="1" applyAlignment="1">
      <alignment horizontal="left" vertical="center"/>
    </xf>
    <xf numFmtId="164" fontId="0" fillId="2" borderId="3" xfId="0" applyNumberFormat="1" applyFill="1" applyBorder="1" applyAlignment="1">
      <alignment horizontal="left" vertical="center"/>
    </xf>
    <xf numFmtId="164" fontId="0" fillId="2" borderId="5" xfId="0" applyNumberFormat="1" applyFill="1" applyBorder="1" applyAlignment="1">
      <alignment horizontal="left" vertical="center"/>
    </xf>
    <xf numFmtId="164" fontId="0" fillId="2" borderId="27" xfId="0" applyNumberFormat="1" applyFill="1" applyBorder="1" applyAlignment="1">
      <alignment horizontal="left" vertical="center"/>
    </xf>
    <xf numFmtId="164" fontId="0" fillId="2" borderId="29" xfId="0" applyNumberFormat="1" applyFill="1" applyBorder="1" applyAlignment="1">
      <alignment horizontal="left" vertical="center"/>
    </xf>
    <xf numFmtId="166" fontId="0" fillId="2" borderId="5" xfId="0" applyNumberFormat="1" applyFill="1" applyBorder="1" applyAlignment="1">
      <alignment horizontal="left" vertical="center"/>
    </xf>
    <xf numFmtId="10" fontId="0" fillId="2" borderId="5" xfId="0" applyNumberFormat="1" applyFill="1" applyBorder="1" applyAlignment="1">
      <alignment horizontal="left" vertical="center"/>
    </xf>
    <xf numFmtId="164" fontId="0" fillId="2" borderId="31" xfId="0" applyNumberFormat="1" applyFill="1" applyBorder="1" applyAlignment="1">
      <alignment horizontal="left" vertical="center"/>
    </xf>
    <xf numFmtId="164" fontId="0" fillId="2" borderId="33" xfId="0" applyNumberFormat="1" applyFill="1" applyBorder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0" fillId="9" borderId="1" xfId="0" applyFill="1" applyBorder="1" applyAlignment="1">
      <alignment horizontal="left"/>
    </xf>
    <xf numFmtId="0" fontId="0" fillId="9" borderId="2" xfId="0" applyFill="1" applyBorder="1" applyAlignment="1">
      <alignment horizontal="left" vertical="center"/>
    </xf>
    <xf numFmtId="0" fontId="0" fillId="9" borderId="3" xfId="0" applyFill="1" applyBorder="1" applyAlignment="1">
      <alignment horizontal="left" vertical="center"/>
    </xf>
    <xf numFmtId="0" fontId="0" fillId="9" borderId="4" xfId="0" applyFill="1" applyBorder="1" applyAlignment="1">
      <alignment horizontal="left"/>
    </xf>
    <xf numFmtId="0" fontId="0" fillId="9" borderId="6" xfId="0" applyFill="1" applyBorder="1" applyAlignment="1">
      <alignment horizontal="left"/>
    </xf>
    <xf numFmtId="0" fontId="0" fillId="9" borderId="7" xfId="0" applyFill="1" applyBorder="1" applyAlignment="1">
      <alignment horizontal="left" vertical="center"/>
    </xf>
    <xf numFmtId="0" fontId="0" fillId="9" borderId="8" xfId="0" applyFill="1" applyBorder="1" applyAlignment="1">
      <alignment horizontal="left" vertical="center"/>
    </xf>
    <xf numFmtId="0" fontId="0" fillId="9" borderId="0" xfId="0" applyFill="1" applyBorder="1"/>
    <xf numFmtId="0" fontId="0" fillId="9" borderId="0" xfId="0" applyFill="1" applyAlignment="1">
      <alignment vertical="center"/>
    </xf>
    <xf numFmtId="0" fontId="11" fillId="9" borderId="0" xfId="0" applyFont="1" applyFill="1" applyBorder="1" applyAlignment="1">
      <alignment vertical="center"/>
    </xf>
    <xf numFmtId="0" fontId="12" fillId="9" borderId="0" xfId="3" applyFont="1" applyFill="1" applyBorder="1" applyAlignment="1">
      <alignment vertical="center"/>
    </xf>
    <xf numFmtId="0" fontId="3" fillId="9" borderId="0" xfId="0" applyFont="1" applyFill="1" applyAlignment="1">
      <alignment vertical="center"/>
    </xf>
    <xf numFmtId="0" fontId="0" fillId="9" borderId="0" xfId="0" applyFill="1" applyAlignment="1">
      <alignment vertical="center" wrapText="1"/>
    </xf>
    <xf numFmtId="0" fontId="4" fillId="10" borderId="34" xfId="0" applyFon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 wrapText="1"/>
    </xf>
    <xf numFmtId="44" fontId="13" fillId="9" borderId="12" xfId="0" applyNumberFormat="1" applyFont="1" applyFill="1" applyBorder="1" applyAlignment="1">
      <alignment horizontal="left" wrapText="1"/>
    </xf>
    <xf numFmtId="44" fontId="13" fillId="9" borderId="13" xfId="0" applyNumberFormat="1" applyFont="1" applyFill="1" applyBorder="1" applyAlignment="1">
      <alignment horizontal="left" wrapText="1"/>
    </xf>
    <xf numFmtId="44" fontId="13" fillId="9" borderId="14" xfId="0" applyNumberFormat="1" applyFont="1" applyFill="1" applyBorder="1" applyAlignment="1">
      <alignment horizontal="left" wrapText="1"/>
    </xf>
    <xf numFmtId="44" fontId="13" fillId="9" borderId="15" xfId="0" applyNumberFormat="1" applyFont="1" applyFill="1" applyBorder="1" applyAlignment="1">
      <alignment horizontal="left" wrapText="1"/>
    </xf>
    <xf numFmtId="44" fontId="13" fillId="9" borderId="0" xfId="0" applyNumberFormat="1" applyFont="1" applyFill="1" applyBorder="1" applyAlignment="1">
      <alignment horizontal="left" wrapText="1"/>
    </xf>
    <xf numFmtId="44" fontId="13" fillId="9" borderId="16" xfId="0" applyNumberFormat="1" applyFont="1" applyFill="1" applyBorder="1" applyAlignment="1">
      <alignment horizontal="left" wrapText="1"/>
    </xf>
    <xf numFmtId="44" fontId="13" fillId="9" borderId="21" xfId="0" applyNumberFormat="1" applyFont="1" applyFill="1" applyBorder="1" applyAlignment="1">
      <alignment horizontal="left" wrapText="1"/>
    </xf>
    <xf numFmtId="44" fontId="13" fillId="9" borderId="20" xfId="0" applyNumberFormat="1" applyFont="1" applyFill="1" applyBorder="1" applyAlignment="1">
      <alignment horizontal="left" wrapText="1"/>
    </xf>
    <xf numFmtId="44" fontId="13" fillId="9" borderId="22" xfId="0" applyNumberFormat="1" applyFont="1" applyFill="1" applyBorder="1" applyAlignment="1">
      <alignment horizontal="left" wrapText="1"/>
    </xf>
    <xf numFmtId="44" fontId="13" fillId="9" borderId="37" xfId="0" applyNumberFormat="1" applyFont="1" applyFill="1" applyBorder="1" applyAlignment="1">
      <alignment horizontal="left" wrapText="1"/>
    </xf>
    <xf numFmtId="44" fontId="13" fillId="9" borderId="38" xfId="0" applyNumberFormat="1" applyFont="1" applyFill="1" applyBorder="1" applyAlignment="1">
      <alignment horizontal="left" wrapText="1"/>
    </xf>
    <xf numFmtId="44" fontId="13" fillId="9" borderId="39" xfId="0" applyNumberFormat="1" applyFont="1" applyFill="1" applyBorder="1" applyAlignment="1">
      <alignment horizontal="left" wrapText="1"/>
    </xf>
    <xf numFmtId="44" fontId="14" fillId="9" borderId="15" xfId="0" applyNumberFormat="1" applyFont="1" applyFill="1" applyBorder="1" applyAlignment="1">
      <alignment horizontal="left" wrapText="1"/>
    </xf>
    <xf numFmtId="44" fontId="14" fillId="9" borderId="0" xfId="0" applyNumberFormat="1" applyFont="1" applyFill="1" applyBorder="1" applyAlignment="1">
      <alignment horizontal="left" wrapText="1"/>
    </xf>
    <xf numFmtId="44" fontId="14" fillId="9" borderId="16" xfId="0" applyNumberFormat="1" applyFont="1" applyFill="1" applyBorder="1" applyAlignment="1">
      <alignment horizontal="left" wrapText="1"/>
    </xf>
    <xf numFmtId="10" fontId="13" fillId="9" borderId="15" xfId="0" applyNumberFormat="1" applyFont="1" applyFill="1" applyBorder="1" applyAlignment="1">
      <alignment horizontal="right" wrapText="1"/>
    </xf>
    <xf numFmtId="10" fontId="13" fillId="9" borderId="0" xfId="0" applyNumberFormat="1" applyFont="1" applyFill="1" applyBorder="1" applyAlignment="1">
      <alignment horizontal="right" wrapText="1"/>
    </xf>
    <xf numFmtId="10" fontId="13" fillId="9" borderId="16" xfId="0" applyNumberFormat="1" applyFont="1" applyFill="1" applyBorder="1" applyAlignment="1">
      <alignment horizontal="right" wrapText="1"/>
    </xf>
    <xf numFmtId="168" fontId="4" fillId="10" borderId="9" xfId="0" applyNumberFormat="1" applyFont="1" applyFill="1" applyBorder="1" applyAlignment="1">
      <alignment horizontal="right"/>
    </xf>
    <xf numFmtId="168" fontId="4" fillId="10" borderId="10" xfId="0" applyNumberFormat="1" applyFont="1" applyFill="1" applyBorder="1" applyAlignment="1">
      <alignment horizontal="right"/>
    </xf>
    <xf numFmtId="168" fontId="4" fillId="10" borderId="11" xfId="0" applyNumberFormat="1" applyFont="1" applyFill="1" applyBorder="1" applyAlignment="1">
      <alignment horizontal="right"/>
    </xf>
    <xf numFmtId="10" fontId="14" fillId="5" borderId="9" xfId="0" applyNumberFormat="1" applyFont="1" applyFill="1" applyBorder="1" applyAlignment="1">
      <alignment horizontal="right" wrapText="1"/>
    </xf>
    <xf numFmtId="10" fontId="14" fillId="5" borderId="10" xfId="0" applyNumberFormat="1" applyFont="1" applyFill="1" applyBorder="1" applyAlignment="1">
      <alignment horizontal="right" wrapText="1"/>
    </xf>
    <xf numFmtId="10" fontId="14" fillId="5" borderId="11" xfId="0" applyNumberFormat="1" applyFont="1" applyFill="1" applyBorder="1" applyAlignment="1">
      <alignment horizontal="right" wrapText="1"/>
    </xf>
    <xf numFmtId="0" fontId="2" fillId="6" borderId="0" xfId="1" applyFill="1" applyAlignment="1">
      <alignment horizontal="left" vertical="center"/>
    </xf>
    <xf numFmtId="44" fontId="2" fillId="6" borderId="0" xfId="2" applyFont="1" applyFill="1" applyAlignment="1">
      <alignment horizontal="left" vertical="center"/>
    </xf>
    <xf numFmtId="0" fontId="15" fillId="9" borderId="0" xfId="0" applyFont="1" applyFill="1" applyAlignment="1">
      <alignment horizontal="left" vertical="center"/>
    </xf>
    <xf numFmtId="0" fontId="15" fillId="9" borderId="0" xfId="0" applyFont="1" applyFill="1"/>
    <xf numFmtId="0" fontId="15" fillId="9" borderId="0" xfId="0" applyFont="1" applyFill="1" applyAlignment="1">
      <alignment horizontal="left"/>
    </xf>
    <xf numFmtId="164" fontId="15" fillId="9" borderId="0" xfId="0" applyNumberFormat="1" applyFont="1" applyFill="1" applyAlignment="1">
      <alignment horizontal="left" vertical="center"/>
    </xf>
    <xf numFmtId="0" fontId="15" fillId="9" borderId="0" xfId="0" applyFont="1" applyFill="1" applyBorder="1" applyAlignment="1">
      <alignment horizontal="left" vertical="center"/>
    </xf>
    <xf numFmtId="0" fontId="16" fillId="9" borderId="0" xfId="0" applyFont="1" applyFill="1" applyAlignment="1">
      <alignment vertical="center"/>
    </xf>
    <xf numFmtId="0" fontId="17" fillId="9" borderId="0" xfId="0" applyFont="1" applyFill="1" applyAlignment="1">
      <alignment vertical="center"/>
    </xf>
    <xf numFmtId="0" fontId="18" fillId="9" borderId="0" xfId="0" applyFont="1" applyFill="1" applyBorder="1" applyAlignment="1">
      <alignment vertical="center" wrapText="1"/>
    </xf>
    <xf numFmtId="0" fontId="7" fillId="6" borderId="0" xfId="0" applyFont="1" applyFill="1"/>
    <xf numFmtId="44" fontId="2" fillId="6" borderId="0" xfId="1" applyNumberFormat="1" applyFill="1"/>
    <xf numFmtId="169" fontId="2" fillId="6" borderId="0" xfId="1" applyNumberFormat="1" applyFill="1"/>
    <xf numFmtId="0" fontId="0" fillId="6" borderId="0" xfId="0" applyFill="1" applyBorder="1"/>
    <xf numFmtId="0" fontId="0" fillId="6" borderId="18" xfId="0" applyFill="1" applyBorder="1"/>
    <xf numFmtId="168" fontId="4" fillId="10" borderId="12" xfId="0" applyNumberFormat="1" applyFont="1" applyFill="1" applyBorder="1" applyAlignment="1">
      <alignment horizontal="right"/>
    </xf>
    <xf numFmtId="168" fontId="4" fillId="10" borderId="13" xfId="0" applyNumberFormat="1" applyFont="1" applyFill="1" applyBorder="1" applyAlignment="1">
      <alignment horizontal="right"/>
    </xf>
    <xf numFmtId="168" fontId="4" fillId="10" borderId="14" xfId="0" applyNumberFormat="1" applyFont="1" applyFill="1" applyBorder="1" applyAlignment="1">
      <alignment horizontal="right"/>
    </xf>
    <xf numFmtId="0" fontId="7" fillId="9" borderId="9" xfId="0" applyFont="1" applyFill="1" applyBorder="1" applyAlignment="1">
      <alignment horizontal="left" vertical="center" wrapText="1"/>
    </xf>
    <xf numFmtId="44" fontId="0" fillId="9" borderId="10" xfId="0" applyNumberFormat="1" applyFill="1" applyBorder="1" applyAlignment="1">
      <alignment horizontal="left" vertical="center" wrapText="1"/>
    </xf>
    <xf numFmtId="44" fontId="0" fillId="9" borderId="11" xfId="0" applyNumberFormat="1" applyFill="1" applyBorder="1" applyAlignment="1">
      <alignment horizontal="left" vertical="center" wrapText="1"/>
    </xf>
    <xf numFmtId="0" fontId="7" fillId="9" borderId="23" xfId="0" applyFont="1" applyFill="1" applyBorder="1" applyAlignment="1">
      <alignment horizontal="left" vertical="center" wrapText="1"/>
    </xf>
    <xf numFmtId="44" fontId="0" fillId="9" borderId="0" xfId="0" applyNumberFormat="1" applyFill="1" applyBorder="1" applyAlignment="1">
      <alignment horizontal="left" vertical="center"/>
    </xf>
    <xf numFmtId="44" fontId="0" fillId="9" borderId="12" xfId="0" applyNumberFormat="1" applyFill="1" applyBorder="1" applyAlignment="1">
      <alignment horizontal="left" vertical="center"/>
    </xf>
    <xf numFmtId="44" fontId="0" fillId="9" borderId="13" xfId="0" applyNumberFormat="1" applyFill="1" applyBorder="1" applyAlignment="1">
      <alignment horizontal="left" vertical="center"/>
    </xf>
    <xf numFmtId="44" fontId="0" fillId="9" borderId="14" xfId="0" applyNumberFormat="1" applyFill="1" applyBorder="1" applyAlignment="1">
      <alignment horizontal="left" vertical="center"/>
    </xf>
    <xf numFmtId="44" fontId="0" fillId="9" borderId="15" xfId="0" applyNumberFormat="1" applyFill="1" applyBorder="1" applyAlignment="1">
      <alignment horizontal="left" vertical="center"/>
    </xf>
    <xf numFmtId="44" fontId="0" fillId="9" borderId="16" xfId="0" applyNumberFormat="1" applyFill="1" applyBorder="1" applyAlignment="1">
      <alignment horizontal="left" vertical="center"/>
    </xf>
    <xf numFmtId="44" fontId="0" fillId="9" borderId="17" xfId="0" applyNumberFormat="1" applyFill="1" applyBorder="1" applyAlignment="1">
      <alignment horizontal="left" vertical="center"/>
    </xf>
    <xf numFmtId="44" fontId="0" fillId="9" borderId="18" xfId="0" applyNumberFormat="1" applyFill="1" applyBorder="1" applyAlignment="1">
      <alignment horizontal="left" vertical="center"/>
    </xf>
    <xf numFmtId="44" fontId="0" fillId="9" borderId="19" xfId="0" applyNumberFormat="1" applyFill="1" applyBorder="1" applyAlignment="1">
      <alignment horizontal="left" vertical="center"/>
    </xf>
    <xf numFmtId="0" fontId="7" fillId="9" borderId="23" xfId="0" applyFont="1" applyFill="1" applyBorder="1" applyAlignment="1">
      <alignment horizontal="left" vertical="center" indent="1"/>
    </xf>
    <xf numFmtId="44" fontId="0" fillId="9" borderId="9" xfId="0" applyNumberFormat="1" applyFill="1" applyBorder="1" applyAlignment="1">
      <alignment horizontal="left" vertical="center" wrapText="1"/>
    </xf>
    <xf numFmtId="10" fontId="0" fillId="9" borderId="0" xfId="4" applyNumberFormat="1" applyFont="1" applyFill="1" applyBorder="1" applyAlignment="1">
      <alignment horizontal="right" vertical="center"/>
    </xf>
    <xf numFmtId="10" fontId="0" fillId="9" borderId="16" xfId="4" applyNumberFormat="1" applyFont="1" applyFill="1" applyBorder="1" applyAlignment="1">
      <alignment horizontal="right" vertical="center"/>
    </xf>
    <xf numFmtId="10" fontId="0" fillId="9" borderId="18" xfId="4" applyNumberFormat="1" applyFont="1" applyFill="1" applyBorder="1" applyAlignment="1">
      <alignment horizontal="right" vertical="center"/>
    </xf>
    <xf numFmtId="10" fontId="0" fillId="9" borderId="19" xfId="4" applyNumberFormat="1" applyFont="1" applyFill="1" applyBorder="1" applyAlignment="1">
      <alignment horizontal="right" vertical="center"/>
    </xf>
    <xf numFmtId="0" fontId="20" fillId="0" borderId="0" xfId="0" applyFont="1"/>
    <xf numFmtId="0" fontId="21" fillId="9" borderId="0" xfId="0" applyFont="1" applyFill="1" applyAlignment="1">
      <alignment horizontal="left"/>
    </xf>
    <xf numFmtId="10" fontId="22" fillId="2" borderId="24" xfId="0" applyNumberFormat="1" applyFont="1" applyFill="1" applyBorder="1" applyAlignment="1">
      <alignment horizontal="left" vertical="center"/>
    </xf>
    <xf numFmtId="0" fontId="22" fillId="9" borderId="0" xfId="0" applyFont="1" applyFill="1" applyAlignment="1">
      <alignment horizontal="left" vertical="center"/>
    </xf>
    <xf numFmtId="0" fontId="22" fillId="9" borderId="0" xfId="0" applyFont="1" applyFill="1" applyAlignment="1">
      <alignment wrapText="1"/>
    </xf>
    <xf numFmtId="0" fontId="22" fillId="4" borderId="35" xfId="0" applyFont="1" applyFill="1" applyBorder="1" applyAlignment="1">
      <alignment horizontal="left" vertical="center"/>
    </xf>
    <xf numFmtId="164" fontId="22" fillId="2" borderId="24" xfId="0" applyNumberFormat="1" applyFont="1" applyFill="1" applyBorder="1" applyAlignment="1">
      <alignment horizontal="left" vertical="center"/>
    </xf>
    <xf numFmtId="10" fontId="22" fillId="2" borderId="12" xfId="0" applyNumberFormat="1" applyFont="1" applyFill="1" applyBorder="1" applyAlignment="1">
      <alignment vertical="center"/>
    </xf>
    <xf numFmtId="10" fontId="22" fillId="2" borderId="14" xfId="0" applyNumberFormat="1" applyFont="1" applyFill="1" applyBorder="1" applyAlignment="1">
      <alignment vertical="center"/>
    </xf>
    <xf numFmtId="0" fontId="22" fillId="9" borderId="20" xfId="0" applyFont="1" applyFill="1" applyBorder="1" applyAlignment="1">
      <alignment horizontal="left" vertical="center"/>
    </xf>
    <xf numFmtId="0" fontId="22" fillId="9" borderId="0" xfId="0" applyFont="1" applyFill="1"/>
    <xf numFmtId="0" fontId="22" fillId="9" borderId="0" xfId="0" applyFont="1" applyFill="1" applyAlignment="1">
      <alignment horizontal="left"/>
    </xf>
    <xf numFmtId="170" fontId="22" fillId="9" borderId="12" xfId="2" applyNumberFormat="1" applyFont="1" applyFill="1" applyBorder="1" applyAlignment="1">
      <alignment horizontal="right" vertical="center" wrapText="1"/>
    </xf>
    <xf numFmtId="170" fontId="22" fillId="9" borderId="13" xfId="2" applyNumberFormat="1" applyFont="1" applyFill="1" applyBorder="1" applyAlignment="1">
      <alignment horizontal="right" vertical="center" wrapText="1"/>
    </xf>
    <xf numFmtId="170" fontId="22" fillId="9" borderId="14" xfId="2" applyNumberFormat="1" applyFont="1" applyFill="1" applyBorder="1" applyAlignment="1">
      <alignment horizontal="right" vertical="center" wrapText="1"/>
    </xf>
    <xf numFmtId="170" fontId="22" fillId="9" borderId="15" xfId="2" applyNumberFormat="1" applyFont="1" applyFill="1" applyBorder="1" applyAlignment="1">
      <alignment horizontal="right" vertical="center" wrapText="1"/>
    </xf>
    <xf numFmtId="170" fontId="22" fillId="9" borderId="0" xfId="2" applyNumberFormat="1" applyFont="1" applyFill="1" applyBorder="1" applyAlignment="1">
      <alignment horizontal="right" vertical="center" wrapText="1"/>
    </xf>
    <xf numFmtId="170" fontId="22" fillId="9" borderId="16" xfId="2" applyNumberFormat="1" applyFont="1" applyFill="1" applyBorder="1" applyAlignment="1">
      <alignment horizontal="right" vertical="center" wrapText="1"/>
    </xf>
    <xf numFmtId="170" fontId="22" fillId="9" borderId="21" xfId="2" applyNumberFormat="1" applyFont="1" applyFill="1" applyBorder="1" applyAlignment="1">
      <alignment horizontal="right" vertical="center" wrapText="1"/>
    </xf>
    <xf numFmtId="170" fontId="22" fillId="9" borderId="20" xfId="2" applyNumberFormat="1" applyFont="1" applyFill="1" applyBorder="1" applyAlignment="1">
      <alignment horizontal="right" vertical="center" wrapText="1"/>
    </xf>
    <xf numFmtId="170" fontId="22" fillId="9" borderId="22" xfId="2" applyNumberFormat="1" applyFont="1" applyFill="1" applyBorder="1" applyAlignment="1">
      <alignment horizontal="right" vertical="center" wrapText="1"/>
    </xf>
    <xf numFmtId="43" fontId="22" fillId="9" borderId="15" xfId="0" applyNumberFormat="1" applyFont="1" applyFill="1" applyBorder="1" applyAlignment="1">
      <alignment horizontal="right" vertical="center" wrapText="1"/>
    </xf>
    <xf numFmtId="43" fontId="22" fillId="9" borderId="0" xfId="0" applyNumberFormat="1" applyFont="1" applyFill="1" applyBorder="1" applyAlignment="1">
      <alignment horizontal="right" vertical="center" wrapText="1"/>
    </xf>
    <xf numFmtId="43" fontId="22" fillId="9" borderId="16" xfId="0" applyNumberFormat="1" applyFont="1" applyFill="1" applyBorder="1" applyAlignment="1">
      <alignment horizontal="right" vertical="center" wrapText="1"/>
    </xf>
    <xf numFmtId="10" fontId="22" fillId="9" borderId="15" xfId="4" applyNumberFormat="1" applyFont="1" applyFill="1" applyBorder="1" applyAlignment="1">
      <alignment horizontal="right" vertical="center" wrapText="1"/>
    </xf>
    <xf numFmtId="10" fontId="22" fillId="9" borderId="0" xfId="4" applyNumberFormat="1" applyFont="1" applyFill="1" applyBorder="1" applyAlignment="1">
      <alignment horizontal="right" vertical="center" wrapText="1"/>
    </xf>
    <xf numFmtId="10" fontId="22" fillId="9" borderId="16" xfId="4" applyNumberFormat="1" applyFont="1" applyFill="1" applyBorder="1" applyAlignment="1">
      <alignment horizontal="right" vertical="center" wrapText="1"/>
    </xf>
    <xf numFmtId="170" fontId="22" fillId="9" borderId="37" xfId="2" applyNumberFormat="1" applyFont="1" applyFill="1" applyBorder="1" applyAlignment="1">
      <alignment horizontal="right" vertical="center" wrapText="1"/>
    </xf>
    <xf numFmtId="170" fontId="22" fillId="9" borderId="38" xfId="2" applyNumberFormat="1" applyFont="1" applyFill="1" applyBorder="1" applyAlignment="1">
      <alignment horizontal="right" vertical="center" wrapText="1"/>
    </xf>
    <xf numFmtId="170" fontId="22" fillId="9" borderId="39" xfId="2" applyNumberFormat="1" applyFont="1" applyFill="1" applyBorder="1" applyAlignment="1">
      <alignment horizontal="right" vertical="center" wrapText="1"/>
    </xf>
    <xf numFmtId="170" fontId="23" fillId="9" borderId="15" xfId="2" applyNumberFormat="1" applyFont="1" applyFill="1" applyBorder="1" applyAlignment="1">
      <alignment horizontal="right" vertical="center" wrapText="1"/>
    </xf>
    <xf numFmtId="170" fontId="23" fillId="9" borderId="0" xfId="2" applyNumberFormat="1" applyFont="1" applyFill="1" applyBorder="1" applyAlignment="1">
      <alignment horizontal="right" vertical="center" wrapText="1"/>
    </xf>
    <xf numFmtId="170" fontId="23" fillId="9" borderId="16" xfId="2" applyNumberFormat="1" applyFont="1" applyFill="1" applyBorder="1" applyAlignment="1">
      <alignment horizontal="right" vertical="center" wrapText="1"/>
    </xf>
    <xf numFmtId="0" fontId="22" fillId="8" borderId="24" xfId="0" applyFont="1" applyFill="1" applyBorder="1" applyAlignment="1">
      <alignment horizontal="left" vertical="center" wrapText="1"/>
    </xf>
    <xf numFmtId="0" fontId="22" fillId="8" borderId="24" xfId="0" applyFont="1" applyFill="1" applyBorder="1" applyAlignment="1">
      <alignment horizontal="right" vertical="center" wrapText="1"/>
    </xf>
    <xf numFmtId="0" fontId="22" fillId="6" borderId="12" xfId="0" applyFont="1" applyFill="1" applyBorder="1" applyAlignment="1">
      <alignment horizontal="left" vertical="center"/>
    </xf>
    <xf numFmtId="1" fontId="22" fillId="6" borderId="13" xfId="0" applyNumberFormat="1" applyFont="1" applyFill="1" applyBorder="1" applyAlignment="1">
      <alignment horizontal="left" vertical="center"/>
    </xf>
    <xf numFmtId="172" fontId="22" fillId="6" borderId="13" xfId="0" applyNumberFormat="1" applyFont="1" applyFill="1" applyBorder="1" applyAlignment="1">
      <alignment horizontal="right" vertical="center"/>
    </xf>
    <xf numFmtId="172" fontId="22" fillId="6" borderId="14" xfId="0" applyNumberFormat="1" applyFont="1" applyFill="1" applyBorder="1" applyAlignment="1">
      <alignment horizontal="right" vertical="center"/>
    </xf>
    <xf numFmtId="0" fontId="22" fillId="6" borderId="15" xfId="0" applyFont="1" applyFill="1" applyBorder="1" applyAlignment="1">
      <alignment horizontal="left" vertical="center"/>
    </xf>
    <xf numFmtId="1" fontId="22" fillId="6" borderId="0" xfId="0" applyNumberFormat="1" applyFont="1" applyFill="1" applyBorder="1" applyAlignment="1">
      <alignment horizontal="left" vertical="center"/>
    </xf>
    <xf numFmtId="172" fontId="22" fillId="6" borderId="0" xfId="0" applyNumberFormat="1" applyFont="1" applyFill="1" applyBorder="1" applyAlignment="1">
      <alignment horizontal="right" vertical="center"/>
    </xf>
    <xf numFmtId="172" fontId="22" fillId="6" borderId="16" xfId="0" applyNumberFormat="1" applyFont="1" applyFill="1" applyBorder="1" applyAlignment="1">
      <alignment horizontal="right" vertical="center"/>
    </xf>
    <xf numFmtId="0" fontId="22" fillId="6" borderId="17" xfId="0" applyFont="1" applyFill="1" applyBorder="1" applyAlignment="1">
      <alignment horizontal="left" vertical="center"/>
    </xf>
    <xf numFmtId="1" fontId="22" fillId="6" borderId="18" xfId="0" applyNumberFormat="1" applyFont="1" applyFill="1" applyBorder="1" applyAlignment="1">
      <alignment horizontal="left" vertical="center"/>
    </xf>
    <xf numFmtId="172" fontId="22" fillId="6" borderId="18" xfId="0" applyNumberFormat="1" applyFont="1" applyFill="1" applyBorder="1" applyAlignment="1">
      <alignment horizontal="right" vertical="center"/>
    </xf>
    <xf numFmtId="172" fontId="22" fillId="6" borderId="19" xfId="0" applyNumberFormat="1" applyFont="1" applyFill="1" applyBorder="1" applyAlignment="1">
      <alignment horizontal="right" vertical="center"/>
    </xf>
    <xf numFmtId="0" fontId="24" fillId="9" borderId="0" xfId="0" applyFont="1" applyFill="1" applyAlignment="1">
      <alignment horizontal="left" vertical="center"/>
    </xf>
    <xf numFmtId="0" fontId="23" fillId="9" borderId="23" xfId="0" applyFont="1" applyFill="1" applyBorder="1" applyAlignment="1">
      <alignment horizontal="left" vertical="center" wrapText="1"/>
    </xf>
    <xf numFmtId="0" fontId="23" fillId="9" borderId="23" xfId="0" applyFont="1" applyFill="1" applyBorder="1" applyAlignment="1">
      <alignment horizontal="left" vertical="center" indent="1"/>
    </xf>
    <xf numFmtId="0" fontId="22" fillId="9" borderId="24" xfId="0" applyFont="1" applyFill="1" applyBorder="1" applyAlignment="1">
      <alignment horizontal="left" vertical="center"/>
    </xf>
    <xf numFmtId="171" fontId="22" fillId="9" borderId="13" xfId="2" applyNumberFormat="1" applyFont="1" applyFill="1" applyBorder="1" applyAlignment="1">
      <alignment horizontal="right" vertical="center"/>
    </xf>
    <xf numFmtId="171" fontId="22" fillId="9" borderId="14" xfId="2" applyNumberFormat="1" applyFont="1" applyFill="1" applyBorder="1" applyAlignment="1">
      <alignment horizontal="right" vertical="center"/>
    </xf>
    <xf numFmtId="0" fontId="22" fillId="9" borderId="34" xfId="0" applyFont="1" applyFill="1" applyBorder="1" applyAlignment="1">
      <alignment horizontal="left" vertical="center"/>
    </xf>
    <xf numFmtId="171" fontId="22" fillId="9" borderId="0" xfId="2" applyNumberFormat="1" applyFont="1" applyFill="1" applyBorder="1" applyAlignment="1">
      <alignment horizontal="right" vertical="center"/>
    </xf>
    <xf numFmtId="171" fontId="22" fillId="9" borderId="16" xfId="2" applyNumberFormat="1" applyFont="1" applyFill="1" applyBorder="1" applyAlignment="1">
      <alignment horizontal="right" vertical="center"/>
    </xf>
    <xf numFmtId="0" fontId="22" fillId="9" borderId="35" xfId="0" applyFont="1" applyFill="1" applyBorder="1" applyAlignment="1">
      <alignment horizontal="left" vertical="center"/>
    </xf>
    <xf numFmtId="171" fontId="22" fillId="9" borderId="18" xfId="2" applyNumberFormat="1" applyFont="1" applyFill="1" applyBorder="1" applyAlignment="1">
      <alignment horizontal="right" vertical="center"/>
    </xf>
    <xf numFmtId="171" fontId="22" fillId="9" borderId="19" xfId="2" applyNumberFormat="1" applyFont="1" applyFill="1" applyBorder="1" applyAlignment="1">
      <alignment horizontal="right" vertical="center"/>
    </xf>
    <xf numFmtId="10" fontId="22" fillId="9" borderId="0" xfId="4" applyNumberFormat="1" applyFont="1" applyFill="1" applyBorder="1" applyAlignment="1">
      <alignment horizontal="right" vertical="center"/>
    </xf>
    <xf numFmtId="10" fontId="22" fillId="9" borderId="16" xfId="4" applyNumberFormat="1" applyFont="1" applyFill="1" applyBorder="1" applyAlignment="1">
      <alignment horizontal="right" vertical="center"/>
    </xf>
    <xf numFmtId="10" fontId="22" fillId="9" borderId="18" xfId="4" applyNumberFormat="1" applyFont="1" applyFill="1" applyBorder="1" applyAlignment="1">
      <alignment horizontal="right" vertical="center"/>
    </xf>
    <xf numFmtId="10" fontId="22" fillId="9" borderId="19" xfId="4" applyNumberFormat="1" applyFont="1" applyFill="1" applyBorder="1" applyAlignment="1">
      <alignment horizontal="right" vertical="center"/>
    </xf>
    <xf numFmtId="0" fontId="0" fillId="11" borderId="0" xfId="0" applyFill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26" fillId="9" borderId="0" xfId="0" applyFont="1" applyFill="1" applyAlignment="1">
      <alignment horizontal="left" vertical="center"/>
    </xf>
    <xf numFmtId="0" fontId="27" fillId="9" borderId="0" xfId="0" applyFont="1" applyFill="1" applyAlignment="1">
      <alignment horizontal="left" vertical="center"/>
    </xf>
    <xf numFmtId="0" fontId="27" fillId="9" borderId="0" xfId="0" applyFont="1" applyFill="1" applyAlignment="1">
      <alignment vertical="center"/>
    </xf>
    <xf numFmtId="0" fontId="28" fillId="9" borderId="0" xfId="0" applyFont="1" applyFill="1" applyAlignment="1">
      <alignment vertical="center"/>
    </xf>
    <xf numFmtId="0" fontId="0" fillId="11" borderId="0" xfId="0" applyFill="1" applyAlignment="1">
      <alignment horizontal="left"/>
    </xf>
    <xf numFmtId="44" fontId="0" fillId="11" borderId="0" xfId="0" applyNumberFormat="1" applyFill="1" applyAlignment="1">
      <alignment horizontal="left" vertical="center"/>
    </xf>
    <xf numFmtId="0" fontId="19" fillId="12" borderId="0" xfId="0" applyFont="1" applyFill="1" applyAlignment="1">
      <alignment vertical="center"/>
    </xf>
    <xf numFmtId="0" fontId="29" fillId="9" borderId="0" xfId="0" applyFont="1" applyFill="1" applyAlignment="1">
      <alignment vertical="center"/>
    </xf>
    <xf numFmtId="0" fontId="29" fillId="9" borderId="0" xfId="0" applyFont="1" applyFill="1" applyAlignment="1">
      <alignment horizontal="left" vertical="center"/>
    </xf>
    <xf numFmtId="44" fontId="2" fillId="6" borderId="0" xfId="2" applyFont="1" applyFill="1"/>
    <xf numFmtId="0" fontId="7" fillId="6" borderId="0" xfId="0" applyFont="1" applyFill="1" applyBorder="1" applyAlignment="1">
      <alignment horizontal="right"/>
    </xf>
    <xf numFmtId="0" fontId="7" fillId="6" borderId="0" xfId="0" applyFont="1" applyFill="1" applyBorder="1"/>
    <xf numFmtId="0" fontId="0" fillId="9" borderId="15" xfId="0" applyFill="1" applyBorder="1" applyAlignment="1">
      <alignment horizontal="left" vertical="center"/>
    </xf>
    <xf numFmtId="0" fontId="0" fillId="9" borderId="17" xfId="0" applyFill="1" applyBorder="1" applyAlignment="1">
      <alignment horizontal="left" vertical="center"/>
    </xf>
    <xf numFmtId="0" fontId="7" fillId="9" borderId="9" xfId="0" applyFont="1" applyFill="1" applyBorder="1" applyAlignment="1">
      <alignment horizontal="left" vertical="center" indent="1"/>
    </xf>
    <xf numFmtId="44" fontId="2" fillId="9" borderId="0" xfId="1" applyNumberFormat="1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168" fontId="0" fillId="6" borderId="0" xfId="0" applyNumberFormat="1" applyFill="1" applyAlignment="1">
      <alignment horizontal="left" vertical="center"/>
    </xf>
    <xf numFmtId="10" fontId="0" fillId="9" borderId="12" xfId="4" applyNumberFormat="1" applyFont="1" applyFill="1" applyBorder="1" applyAlignment="1">
      <alignment horizontal="right" vertical="center"/>
    </xf>
    <xf numFmtId="10" fontId="0" fillId="9" borderId="13" xfId="4" applyNumberFormat="1" applyFont="1" applyFill="1" applyBorder="1" applyAlignment="1">
      <alignment horizontal="right" vertical="center"/>
    </xf>
    <xf numFmtId="10" fontId="0" fillId="9" borderId="14" xfId="4" applyNumberFormat="1" applyFont="1" applyFill="1" applyBorder="1" applyAlignment="1">
      <alignment horizontal="right" vertical="center"/>
    </xf>
    <xf numFmtId="10" fontId="0" fillId="9" borderId="15" xfId="4" applyNumberFormat="1" applyFont="1" applyFill="1" applyBorder="1" applyAlignment="1">
      <alignment horizontal="right" vertical="center"/>
    </xf>
    <xf numFmtId="10" fontId="0" fillId="9" borderId="17" xfId="4" applyNumberFormat="1" applyFont="1" applyFill="1" applyBorder="1" applyAlignment="1">
      <alignment horizontal="right" vertical="center"/>
    </xf>
    <xf numFmtId="0" fontId="0" fillId="0" borderId="0" xfId="0" applyFill="1" applyAlignment="1">
      <alignment horizontal="left" vertical="center"/>
    </xf>
    <xf numFmtId="10" fontId="23" fillId="13" borderId="9" xfId="0" applyNumberFormat="1" applyFont="1" applyFill="1" applyBorder="1" applyAlignment="1">
      <alignment horizontal="right" vertical="center" wrapText="1"/>
    </xf>
    <xf numFmtId="10" fontId="23" fillId="13" borderId="10" xfId="0" applyNumberFormat="1" applyFont="1" applyFill="1" applyBorder="1" applyAlignment="1">
      <alignment horizontal="right" vertical="center" wrapText="1"/>
    </xf>
    <xf numFmtId="10" fontId="23" fillId="13" borderId="11" xfId="0" applyNumberFormat="1" applyFont="1" applyFill="1" applyBorder="1" applyAlignment="1">
      <alignment horizontal="right" vertical="center" wrapText="1"/>
    </xf>
    <xf numFmtId="0" fontId="30" fillId="13" borderId="23" xfId="0" applyFont="1" applyFill="1" applyBorder="1" applyAlignment="1">
      <alignment horizontal="left" vertical="center" wrapText="1"/>
    </xf>
    <xf numFmtId="0" fontId="30" fillId="10" borderId="24" xfId="0" applyFont="1" applyFill="1" applyBorder="1" applyAlignment="1">
      <alignment horizontal="left" vertical="center" wrapText="1"/>
    </xf>
    <xf numFmtId="0" fontId="30" fillId="10" borderId="34" xfId="0" applyFont="1" applyFill="1" applyBorder="1" applyAlignment="1">
      <alignment horizontal="left" vertical="center" wrapText="1"/>
    </xf>
    <xf numFmtId="0" fontId="30" fillId="10" borderId="34" xfId="0" applyFont="1" applyFill="1" applyBorder="1" applyAlignment="1">
      <alignment horizontal="left" vertical="center" wrapText="1" indent="1"/>
    </xf>
    <xf numFmtId="0" fontId="30" fillId="10" borderId="25" xfId="0" applyFont="1" applyFill="1" applyBorder="1" applyAlignment="1">
      <alignment horizontal="left" vertical="center" wrapText="1" indent="1"/>
    </xf>
    <xf numFmtId="0" fontId="30" fillId="10" borderId="25" xfId="0" applyFont="1" applyFill="1" applyBorder="1" applyAlignment="1">
      <alignment horizontal="left" vertical="center" wrapText="1"/>
    </xf>
    <xf numFmtId="0" fontId="30" fillId="10" borderId="36" xfId="0" applyFont="1" applyFill="1" applyBorder="1" applyAlignment="1">
      <alignment horizontal="left" vertical="center" wrapText="1"/>
    </xf>
    <xf numFmtId="168" fontId="30" fillId="10" borderId="9" xfId="0" applyNumberFormat="1" applyFont="1" applyFill="1" applyBorder="1" applyAlignment="1">
      <alignment horizontal="right"/>
    </xf>
    <xf numFmtId="168" fontId="30" fillId="10" borderId="10" xfId="0" applyNumberFormat="1" applyFont="1" applyFill="1" applyBorder="1" applyAlignment="1">
      <alignment horizontal="right"/>
    </xf>
    <xf numFmtId="168" fontId="30" fillId="10" borderId="11" xfId="0" applyNumberFormat="1" applyFont="1" applyFill="1" applyBorder="1" applyAlignment="1">
      <alignment horizontal="right"/>
    </xf>
    <xf numFmtId="168" fontId="30" fillId="10" borderId="12" xfId="0" applyNumberFormat="1" applyFont="1" applyFill="1" applyBorder="1" applyAlignment="1">
      <alignment horizontal="right"/>
    </xf>
    <xf numFmtId="168" fontId="30" fillId="10" borderId="13" xfId="0" applyNumberFormat="1" applyFont="1" applyFill="1" applyBorder="1" applyAlignment="1">
      <alignment horizontal="right"/>
    </xf>
    <xf numFmtId="168" fontId="30" fillId="10" borderId="14" xfId="0" applyNumberFormat="1" applyFont="1" applyFill="1" applyBorder="1" applyAlignment="1">
      <alignment horizontal="right"/>
    </xf>
    <xf numFmtId="168" fontId="30" fillId="10" borderId="12" xfId="0" applyNumberFormat="1" applyFont="1" applyFill="1" applyBorder="1" applyAlignment="1"/>
    <xf numFmtId="168" fontId="30" fillId="10" borderId="13" xfId="0" applyNumberFormat="1" applyFont="1" applyFill="1" applyBorder="1" applyAlignment="1"/>
    <xf numFmtId="168" fontId="30" fillId="10" borderId="14" xfId="0" applyNumberFormat="1" applyFont="1" applyFill="1" applyBorder="1" applyAlignment="1"/>
    <xf numFmtId="171" fontId="22" fillId="13" borderId="0" xfId="2" applyNumberFormat="1" applyFont="1" applyFill="1" applyBorder="1" applyAlignment="1">
      <alignment horizontal="right" vertical="center"/>
    </xf>
    <xf numFmtId="171" fontId="22" fillId="13" borderId="16" xfId="2" applyNumberFormat="1" applyFont="1" applyFill="1" applyBorder="1" applyAlignment="1">
      <alignment horizontal="right" vertical="center"/>
    </xf>
    <xf numFmtId="171" fontId="22" fillId="2" borderId="10" xfId="0" applyNumberFormat="1" applyFont="1" applyFill="1" applyBorder="1" applyAlignment="1">
      <alignment vertical="center" wrapText="1"/>
    </xf>
    <xf numFmtId="171" fontId="22" fillId="2" borderId="11" xfId="0" applyNumberFormat="1" applyFont="1" applyFill="1" applyBorder="1" applyAlignment="1">
      <alignment vertical="center" wrapText="1"/>
    </xf>
    <xf numFmtId="171" fontId="22" fillId="2" borderId="10" xfId="0" applyNumberFormat="1" applyFont="1" applyFill="1" applyBorder="1" applyAlignment="1">
      <alignment horizontal="right" vertical="center" wrapText="1"/>
    </xf>
    <xf numFmtId="171" fontId="22" fillId="2" borderId="11" xfId="0" applyNumberFormat="1" applyFont="1" applyFill="1" applyBorder="1" applyAlignment="1">
      <alignment horizontal="right" vertical="center" wrapText="1"/>
    </xf>
    <xf numFmtId="10" fontId="22" fillId="13" borderId="0" xfId="4" applyNumberFormat="1" applyFont="1" applyFill="1" applyBorder="1" applyAlignment="1">
      <alignment horizontal="right" vertical="center"/>
    </xf>
    <xf numFmtId="10" fontId="22" fillId="13" borderId="16" xfId="4" applyNumberFormat="1" applyFont="1" applyFill="1" applyBorder="1" applyAlignment="1">
      <alignment horizontal="right" vertical="center"/>
    </xf>
    <xf numFmtId="0" fontId="23" fillId="15" borderId="34" xfId="0" applyFont="1" applyFill="1" applyBorder="1" applyAlignment="1">
      <alignment horizontal="left" vertical="center"/>
    </xf>
    <xf numFmtId="0" fontId="23" fillId="15" borderId="35" xfId="0" applyFont="1" applyFill="1" applyBorder="1" applyAlignment="1">
      <alignment horizontal="left" vertical="center"/>
    </xf>
    <xf numFmtId="0" fontId="23" fillId="15" borderId="23" xfId="0" applyFont="1" applyFill="1" applyBorder="1" applyAlignment="1">
      <alignment horizontal="left" vertical="center" wrapText="1"/>
    </xf>
    <xf numFmtId="0" fontId="23" fillId="15" borderId="23" xfId="0" applyFont="1" applyFill="1" applyBorder="1" applyAlignment="1">
      <alignment horizontal="left" vertical="center" indent="1"/>
    </xf>
    <xf numFmtId="0" fontId="25" fillId="9" borderId="0" xfId="0" applyFont="1" applyFill="1" applyBorder="1" applyAlignment="1">
      <alignment vertical="center"/>
    </xf>
    <xf numFmtId="0" fontId="22" fillId="9" borderId="42" xfId="0" applyFont="1" applyFill="1" applyBorder="1" applyAlignment="1">
      <alignment vertical="center" wrapText="1"/>
    </xf>
    <xf numFmtId="0" fontId="22" fillId="9" borderId="43" xfId="0" applyFont="1" applyFill="1" applyBorder="1" applyAlignment="1">
      <alignment vertical="center" wrapText="1"/>
    </xf>
    <xf numFmtId="0" fontId="22" fillId="9" borderId="0" xfId="0" applyFont="1" applyFill="1" applyBorder="1" applyAlignment="1">
      <alignment vertical="center" wrapText="1"/>
    </xf>
    <xf numFmtId="0" fontId="22" fillId="9" borderId="45" xfId="0" applyFont="1" applyFill="1" applyBorder="1" applyAlignment="1">
      <alignment vertical="center" wrapText="1"/>
    </xf>
    <xf numFmtId="0" fontId="22" fillId="9" borderId="47" xfId="0" applyFont="1" applyFill="1" applyBorder="1" applyAlignment="1">
      <alignment vertical="center" wrapText="1"/>
    </xf>
    <xf numFmtId="0" fontId="22" fillId="9" borderId="48" xfId="0" applyFont="1" applyFill="1" applyBorder="1" applyAlignment="1">
      <alignment vertical="center" wrapText="1"/>
    </xf>
    <xf numFmtId="0" fontId="0" fillId="9" borderId="15" xfId="0" applyFill="1" applyBorder="1" applyAlignment="1">
      <alignment vertical="center"/>
    </xf>
    <xf numFmtId="164" fontId="22" fillId="2" borderId="14" xfId="0" applyNumberFormat="1" applyFont="1" applyFill="1" applyBorder="1" applyAlignment="1">
      <alignment horizontal="left" vertical="center"/>
    </xf>
    <xf numFmtId="164" fontId="22" fillId="2" borderId="16" xfId="0" applyNumberFormat="1" applyFont="1" applyFill="1" applyBorder="1" applyAlignment="1">
      <alignment horizontal="left" vertical="center"/>
    </xf>
    <xf numFmtId="164" fontId="22" fillId="2" borderId="19" xfId="0" applyNumberFormat="1" applyFont="1" applyFill="1" applyBorder="1" applyAlignment="1">
      <alignment horizontal="left" vertical="center"/>
    </xf>
    <xf numFmtId="166" fontId="22" fillId="2" borderId="16" xfId="0" applyNumberFormat="1" applyFont="1" applyFill="1" applyBorder="1" applyAlignment="1">
      <alignment horizontal="left" vertical="center"/>
    </xf>
    <xf numFmtId="10" fontId="22" fillId="2" borderId="16" xfId="0" applyNumberFormat="1" applyFont="1" applyFill="1" applyBorder="1" applyAlignment="1">
      <alignment horizontal="left" vertical="center"/>
    </xf>
    <xf numFmtId="164" fontId="22" fillId="2" borderId="22" xfId="0" applyNumberFormat="1" applyFont="1" applyFill="1" applyBorder="1" applyAlignment="1">
      <alignment horizontal="left" vertical="center"/>
    </xf>
    <xf numFmtId="164" fontId="22" fillId="13" borderId="11" xfId="0" applyNumberFormat="1" applyFont="1" applyFill="1" applyBorder="1" applyAlignment="1">
      <alignment horizontal="left" vertical="center"/>
    </xf>
    <xf numFmtId="164" fontId="22" fillId="2" borderId="11" xfId="0" applyNumberFormat="1" applyFont="1" applyFill="1" applyBorder="1" applyAlignment="1">
      <alignment horizontal="left" vertical="center"/>
    </xf>
    <xf numFmtId="0" fontId="22" fillId="9" borderId="21" xfId="0" applyFont="1" applyFill="1" applyBorder="1" applyAlignment="1">
      <alignment horizontal="left" vertical="center"/>
    </xf>
    <xf numFmtId="0" fontId="22" fillId="9" borderId="22" xfId="0" applyFont="1" applyFill="1" applyBorder="1" applyAlignment="1">
      <alignment horizontal="left" vertical="center"/>
    </xf>
    <xf numFmtId="164" fontId="23" fillId="16" borderId="19" xfId="0" applyNumberFormat="1" applyFont="1" applyFill="1" applyBorder="1" applyAlignment="1">
      <alignment horizontal="left" vertical="center"/>
    </xf>
    <xf numFmtId="0" fontId="22" fillId="9" borderId="10" xfId="0" applyFont="1" applyFill="1" applyBorder="1" applyAlignment="1">
      <alignment horizontal="left" vertical="center"/>
    </xf>
    <xf numFmtId="0" fontId="32" fillId="9" borderId="0" xfId="0" applyFont="1" applyFill="1" applyAlignment="1">
      <alignment horizontal="left" vertical="center"/>
    </xf>
    <xf numFmtId="44" fontId="0" fillId="6" borderId="0" xfId="0" applyNumberFormat="1" applyFill="1" applyAlignment="1">
      <alignment horizontal="left" vertical="center"/>
    </xf>
    <xf numFmtId="171" fontId="22" fillId="9" borderId="0" xfId="4" applyNumberFormat="1" applyFont="1" applyFill="1" applyBorder="1" applyAlignment="1">
      <alignment horizontal="right" vertical="center"/>
    </xf>
    <xf numFmtId="0" fontId="0" fillId="14" borderId="0" xfId="0" applyFill="1" applyAlignment="1">
      <alignment horizontal="left" vertical="center" indent="18"/>
    </xf>
    <xf numFmtId="171" fontId="22" fillId="9" borderId="16" xfId="4" applyNumberFormat="1" applyFont="1" applyFill="1" applyBorder="1" applyAlignment="1">
      <alignment horizontal="right" vertical="center"/>
    </xf>
    <xf numFmtId="171" fontId="22" fillId="9" borderId="18" xfId="4" applyNumberFormat="1" applyFont="1" applyFill="1" applyBorder="1" applyAlignment="1">
      <alignment horizontal="right" vertical="center"/>
    </xf>
    <xf numFmtId="171" fontId="22" fillId="9" borderId="19" xfId="4" applyNumberFormat="1" applyFont="1" applyFill="1" applyBorder="1" applyAlignment="1">
      <alignment horizontal="right" vertical="center"/>
    </xf>
    <xf numFmtId="171" fontId="22" fillId="13" borderId="0" xfId="4" applyNumberFormat="1" applyFont="1" applyFill="1" applyBorder="1" applyAlignment="1">
      <alignment horizontal="right" vertical="center"/>
    </xf>
    <xf numFmtId="171" fontId="22" fillId="13" borderId="16" xfId="4" applyNumberFormat="1" applyFont="1" applyFill="1" applyBorder="1" applyAlignment="1">
      <alignment horizontal="right" vertical="center"/>
    </xf>
    <xf numFmtId="171" fontId="22" fillId="9" borderId="12" xfId="4" applyNumberFormat="1" applyFont="1" applyFill="1" applyBorder="1" applyAlignment="1">
      <alignment horizontal="right" vertical="center"/>
    </xf>
    <xf numFmtId="171" fontId="22" fillId="9" borderId="13" xfId="4" applyNumberFormat="1" applyFont="1" applyFill="1" applyBorder="1" applyAlignment="1">
      <alignment horizontal="right" vertical="center"/>
    </xf>
    <xf numFmtId="171" fontId="22" fillId="9" borderId="14" xfId="4" applyNumberFormat="1" applyFont="1" applyFill="1" applyBorder="1" applyAlignment="1">
      <alignment horizontal="right" vertical="center"/>
    </xf>
    <xf numFmtId="171" fontId="22" fillId="13" borderId="15" xfId="4" applyNumberFormat="1" applyFont="1" applyFill="1" applyBorder="1" applyAlignment="1">
      <alignment horizontal="right" vertical="center"/>
    </xf>
    <xf numFmtId="171" fontId="22" fillId="9" borderId="15" xfId="4" applyNumberFormat="1" applyFont="1" applyFill="1" applyBorder="1" applyAlignment="1">
      <alignment horizontal="right" vertical="center"/>
    </xf>
    <xf numFmtId="171" fontId="22" fillId="9" borderId="17" xfId="4" applyNumberFormat="1" applyFont="1" applyFill="1" applyBorder="1" applyAlignment="1">
      <alignment horizontal="right" vertical="center"/>
    </xf>
    <xf numFmtId="0" fontId="27" fillId="9" borderId="0" xfId="0" applyFont="1" applyFill="1" applyAlignment="1">
      <alignment horizontal="left" vertical="center" indent="13"/>
    </xf>
    <xf numFmtId="8" fontId="21" fillId="9" borderId="0" xfId="0" applyNumberFormat="1" applyFont="1" applyFill="1" applyAlignment="1">
      <alignment horizontal="left" vertical="center"/>
    </xf>
    <xf numFmtId="8" fontId="0" fillId="6" borderId="0" xfId="0" applyNumberFormat="1" applyFill="1" applyAlignment="1">
      <alignment horizontal="left" vertical="center"/>
    </xf>
    <xf numFmtId="9" fontId="0" fillId="6" borderId="0" xfId="0" applyNumberFormat="1" applyFill="1" applyAlignment="1">
      <alignment horizontal="left" vertical="center"/>
    </xf>
    <xf numFmtId="10" fontId="0" fillId="9" borderId="0" xfId="4" applyNumberFormat="1" applyFont="1" applyFill="1" applyAlignment="1">
      <alignment horizontal="left" vertical="center"/>
    </xf>
    <xf numFmtId="0" fontId="36" fillId="18" borderId="9" xfId="0" applyFont="1" applyFill="1" applyBorder="1" applyAlignment="1">
      <alignment horizontal="left"/>
    </xf>
    <xf numFmtId="0" fontId="0" fillId="19" borderId="11" xfId="0" applyFill="1" applyBorder="1" applyAlignment="1">
      <alignment horizontal="left"/>
    </xf>
    <xf numFmtId="10" fontId="36" fillId="18" borderId="11" xfId="0" applyNumberFormat="1" applyFont="1" applyFill="1" applyBorder="1" applyAlignment="1">
      <alignment horizontal="left"/>
    </xf>
    <xf numFmtId="164" fontId="36" fillId="18" borderId="11" xfId="0" applyNumberFormat="1" applyFont="1" applyFill="1" applyBorder="1" applyAlignment="1">
      <alignment horizontal="left"/>
    </xf>
    <xf numFmtId="164" fontId="0" fillId="19" borderId="11" xfId="0" applyNumberFormat="1" applyFill="1" applyBorder="1" applyAlignment="1">
      <alignment horizontal="left"/>
    </xf>
    <xf numFmtId="10" fontId="0" fillId="19" borderId="11" xfId="0" applyNumberFormat="1" applyFill="1" applyBorder="1" applyAlignment="1">
      <alignment horizontal="left"/>
    </xf>
    <xf numFmtId="166" fontId="0" fillId="19" borderId="11" xfId="0" applyNumberFormat="1" applyFill="1" applyBorder="1" applyAlignment="1">
      <alignment horizontal="left"/>
    </xf>
    <xf numFmtId="165" fontId="0" fillId="19" borderId="11" xfId="0" applyNumberFormat="1" applyFill="1" applyBorder="1" applyAlignment="1">
      <alignment horizontal="left"/>
    </xf>
    <xf numFmtId="0" fontId="38" fillId="9" borderId="0" xfId="0" applyFont="1" applyFill="1" applyAlignment="1">
      <alignment horizontal="left" vertical="center"/>
    </xf>
    <xf numFmtId="0" fontId="0" fillId="6" borderId="0" xfId="0" applyFont="1" applyFill="1"/>
    <xf numFmtId="0" fontId="37" fillId="6" borderId="0" xfId="0" applyFont="1" applyFill="1"/>
    <xf numFmtId="164" fontId="36" fillId="18" borderId="19" xfId="0" applyNumberFormat="1" applyFont="1" applyFill="1" applyBorder="1" applyAlignment="1">
      <alignment horizontal="left" vertical="center"/>
    </xf>
    <xf numFmtId="0" fontId="36" fillId="18" borderId="9" xfId="0" applyFont="1" applyFill="1" applyBorder="1" applyAlignment="1">
      <alignment horizontal="left" vertical="center"/>
    </xf>
    <xf numFmtId="164" fontId="36" fillId="18" borderId="11" xfId="0" applyNumberFormat="1" applyFont="1" applyFill="1" applyBorder="1" applyAlignment="1">
      <alignment horizontal="left" vertical="center"/>
    </xf>
    <xf numFmtId="164" fontId="0" fillId="19" borderId="14" xfId="0" applyNumberFormat="1" applyFill="1" applyBorder="1" applyAlignment="1">
      <alignment horizontal="left" vertical="center"/>
    </xf>
    <xf numFmtId="164" fontId="0" fillId="19" borderId="22" xfId="0" applyNumberFormat="1" applyFill="1" applyBorder="1" applyAlignment="1">
      <alignment horizontal="left" vertical="center"/>
    </xf>
    <xf numFmtId="164" fontId="0" fillId="19" borderId="11" xfId="0" applyNumberFormat="1" applyFill="1" applyBorder="1" applyAlignment="1">
      <alignment horizontal="left" vertical="center"/>
    </xf>
    <xf numFmtId="10" fontId="0" fillId="19" borderId="10" xfId="0" applyNumberFormat="1" applyFill="1" applyBorder="1" applyAlignment="1">
      <alignment horizontal="left" vertical="center"/>
    </xf>
    <xf numFmtId="10" fontId="0" fillId="19" borderId="11" xfId="0" applyNumberFormat="1" applyFill="1" applyBorder="1" applyAlignment="1">
      <alignment horizontal="left" vertical="center"/>
    </xf>
    <xf numFmtId="164" fontId="2" fillId="20" borderId="11" xfId="1" applyNumberFormat="1" applyFill="1" applyBorder="1" applyAlignment="1">
      <alignment horizontal="left" vertical="center"/>
    </xf>
    <xf numFmtId="0" fontId="0" fillId="19" borderId="0" xfId="0" applyFill="1" applyAlignment="1">
      <alignment horizontal="right"/>
    </xf>
    <xf numFmtId="44" fontId="0" fillId="19" borderId="0" xfId="2" applyFont="1" applyFill="1" applyAlignment="1">
      <alignment horizontal="right"/>
    </xf>
    <xf numFmtId="10" fontId="0" fillId="19" borderId="0" xfId="4" applyNumberFormat="1" applyFont="1" applyFill="1" applyAlignment="1">
      <alignment horizontal="right"/>
    </xf>
    <xf numFmtId="173" fontId="0" fillId="19" borderId="0" xfId="0" applyNumberFormat="1" applyFill="1"/>
    <xf numFmtId="10" fontId="0" fillId="19" borderId="0" xfId="4" applyNumberFormat="1" applyFont="1" applyFill="1"/>
    <xf numFmtId="44" fontId="6" fillId="19" borderId="0" xfId="2" applyFont="1" applyFill="1"/>
    <xf numFmtId="44" fontId="6" fillId="19" borderId="0" xfId="2" applyFont="1" applyFill="1" applyBorder="1"/>
    <xf numFmtId="44" fontId="6" fillId="19" borderId="18" xfId="2" applyFont="1" applyFill="1" applyBorder="1"/>
    <xf numFmtId="44" fontId="36" fillId="18" borderId="0" xfId="2" applyFont="1" applyFill="1"/>
    <xf numFmtId="10" fontId="36" fillId="18" borderId="0" xfId="4" applyNumberFormat="1" applyFont="1" applyFill="1" applyBorder="1"/>
    <xf numFmtId="44" fontId="36" fillId="18" borderId="0" xfId="2" applyFont="1" applyFill="1" applyBorder="1"/>
    <xf numFmtId="10" fontId="36" fillId="18" borderId="18" xfId="4" applyNumberFormat="1" applyFont="1" applyFill="1" applyBorder="1"/>
    <xf numFmtId="44" fontId="36" fillId="18" borderId="18" xfId="2" applyFont="1" applyFill="1" applyBorder="1"/>
    <xf numFmtId="0" fontId="36" fillId="18" borderId="0" xfId="0" applyFont="1" applyFill="1"/>
    <xf numFmtId="0" fontId="1" fillId="18" borderId="0" xfId="0" applyFont="1" applyFill="1"/>
    <xf numFmtId="0" fontId="37" fillId="6" borderId="0" xfId="0" applyFont="1" applyFill="1" applyAlignment="1">
      <alignment horizontal="left"/>
    </xf>
    <xf numFmtId="0" fontId="36" fillId="18" borderId="9" xfId="0" applyFont="1" applyFill="1" applyBorder="1" applyAlignment="1">
      <alignment horizontal="left"/>
    </xf>
    <xf numFmtId="0" fontId="36" fillId="18" borderId="10" xfId="0" applyFont="1" applyFill="1" applyBorder="1" applyAlignment="1">
      <alignment horizontal="left"/>
    </xf>
    <xf numFmtId="0" fontId="0" fillId="19" borderId="10" xfId="0" applyFill="1" applyBorder="1" applyAlignment="1">
      <alignment horizontal="left" wrapText="1"/>
    </xf>
    <xf numFmtId="0" fontId="0" fillId="19" borderId="10" xfId="0" applyFill="1" applyBorder="1" applyAlignment="1">
      <alignment horizontal="left"/>
    </xf>
    <xf numFmtId="0" fontId="0" fillId="19" borderId="11" xfId="0" applyFill="1" applyBorder="1" applyAlignment="1">
      <alignment horizontal="left"/>
    </xf>
    <xf numFmtId="0" fontId="8" fillId="6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164" fontId="0" fillId="19" borderId="10" xfId="0" applyNumberFormat="1" applyFill="1" applyBorder="1" applyAlignment="1">
      <alignment horizontal="center"/>
    </xf>
    <xf numFmtId="164" fontId="0" fillId="19" borderId="11" xfId="0" applyNumberFormat="1" applyFill="1" applyBorder="1" applyAlignment="1">
      <alignment horizontal="center"/>
    </xf>
    <xf numFmtId="164" fontId="0" fillId="6" borderId="0" xfId="0" applyNumberFormat="1" applyFill="1" applyBorder="1" applyAlignment="1">
      <alignment horizontal="center"/>
    </xf>
    <xf numFmtId="0" fontId="0" fillId="19" borderId="12" xfId="0" applyFill="1" applyBorder="1" applyAlignment="1">
      <alignment horizontal="left" vertical="top" wrapText="1"/>
    </xf>
    <xf numFmtId="0" fontId="0" fillId="19" borderId="13" xfId="0" applyFill="1" applyBorder="1" applyAlignment="1">
      <alignment horizontal="left" vertical="top" wrapText="1"/>
    </xf>
    <xf numFmtId="0" fontId="0" fillId="19" borderId="14" xfId="0" applyFill="1" applyBorder="1" applyAlignment="1">
      <alignment horizontal="left" vertical="top" wrapText="1"/>
    </xf>
    <xf numFmtId="0" fontId="0" fillId="19" borderId="15" xfId="0" applyFill="1" applyBorder="1" applyAlignment="1">
      <alignment horizontal="left" vertical="top" wrapText="1"/>
    </xf>
    <xf numFmtId="0" fontId="0" fillId="19" borderId="0" xfId="0" applyFill="1" applyAlignment="1">
      <alignment horizontal="left" vertical="top" wrapText="1"/>
    </xf>
    <xf numFmtId="0" fontId="0" fillId="19" borderId="16" xfId="0" applyFill="1" applyBorder="1" applyAlignment="1">
      <alignment horizontal="left" vertical="top" wrapText="1"/>
    </xf>
    <xf numFmtId="0" fontId="0" fillId="19" borderId="17" xfId="0" applyFill="1" applyBorder="1" applyAlignment="1">
      <alignment horizontal="left" vertical="top" wrapText="1"/>
    </xf>
    <xf numFmtId="0" fontId="0" fillId="19" borderId="18" xfId="0" applyFill="1" applyBorder="1" applyAlignment="1">
      <alignment horizontal="left" vertical="top" wrapText="1"/>
    </xf>
    <xf numFmtId="0" fontId="0" fillId="19" borderId="19" xfId="0" applyFill="1" applyBorder="1" applyAlignment="1">
      <alignment horizontal="left" vertical="top" wrapText="1"/>
    </xf>
    <xf numFmtId="0" fontId="36" fillId="18" borderId="11" xfId="0" applyFont="1" applyFill="1" applyBorder="1" applyAlignment="1">
      <alignment horizontal="left"/>
    </xf>
    <xf numFmtId="0" fontId="1" fillId="18" borderId="0" xfId="0" applyFont="1" applyFill="1" applyAlignment="1">
      <alignment horizontal="left"/>
    </xf>
    <xf numFmtId="0" fontId="37" fillId="6" borderId="0" xfId="0" applyFont="1" applyFill="1" applyAlignment="1">
      <alignment horizontal="left" vertical="center"/>
    </xf>
    <xf numFmtId="0" fontId="36" fillId="18" borderId="9" xfId="0" applyFont="1" applyFill="1" applyBorder="1" applyAlignment="1">
      <alignment horizontal="left" vertical="center"/>
    </xf>
    <xf numFmtId="0" fontId="36" fillId="18" borderId="10" xfId="0" applyFont="1" applyFill="1" applyBorder="1" applyAlignment="1">
      <alignment horizontal="left" vertical="center"/>
    </xf>
    <xf numFmtId="0" fontId="1" fillId="18" borderId="0" xfId="0" applyFont="1" applyFill="1" applyAlignment="1">
      <alignment horizontal="left" vertical="center"/>
    </xf>
    <xf numFmtId="0" fontId="36" fillId="18" borderId="21" xfId="0" applyFont="1" applyFill="1" applyBorder="1" applyAlignment="1">
      <alignment horizontal="left" vertical="center"/>
    </xf>
    <xf numFmtId="0" fontId="36" fillId="18" borderId="20" xfId="0" applyFont="1" applyFill="1" applyBorder="1" applyAlignment="1">
      <alignment horizontal="left" vertical="center"/>
    </xf>
    <xf numFmtId="0" fontId="36" fillId="18" borderId="17" xfId="0" applyFont="1" applyFill="1" applyBorder="1" applyAlignment="1">
      <alignment horizontal="left" vertical="center"/>
    </xf>
    <xf numFmtId="0" fontId="36" fillId="18" borderId="18" xfId="0" applyFont="1" applyFill="1" applyBorder="1" applyAlignment="1">
      <alignment horizontal="left" vertical="center"/>
    </xf>
    <xf numFmtId="0" fontId="36" fillId="18" borderId="12" xfId="0" applyFont="1" applyFill="1" applyBorder="1" applyAlignment="1">
      <alignment horizontal="left" vertical="center"/>
    </xf>
    <xf numFmtId="0" fontId="36" fillId="18" borderId="13" xfId="0" applyFont="1" applyFill="1" applyBorder="1" applyAlignment="1">
      <alignment horizontal="left" vertical="center"/>
    </xf>
    <xf numFmtId="164" fontId="0" fillId="19" borderId="10" xfId="0" applyNumberFormat="1" applyFill="1" applyBorder="1" applyAlignment="1">
      <alignment horizontal="left" vertical="center"/>
    </xf>
    <xf numFmtId="164" fontId="0" fillId="19" borderId="11" xfId="0" applyNumberFormat="1" applyFill="1" applyBorder="1" applyAlignment="1">
      <alignment horizontal="left" vertical="center"/>
    </xf>
    <xf numFmtId="164" fontId="2" fillId="20" borderId="10" xfId="1" applyNumberFormat="1" applyFill="1" applyBorder="1" applyAlignment="1">
      <alignment horizontal="left" vertical="center"/>
    </xf>
    <xf numFmtId="0" fontId="2" fillId="20" borderId="11" xfId="1" applyFill="1" applyBorder="1" applyAlignment="1">
      <alignment horizontal="left" vertical="center"/>
    </xf>
    <xf numFmtId="164" fontId="0" fillId="2" borderId="12" xfId="0" applyNumberFormat="1" applyFill="1" applyBorder="1" applyAlignment="1">
      <alignment horizontal="left" vertical="center"/>
    </xf>
    <xf numFmtId="164" fontId="0" fillId="2" borderId="14" xfId="0" applyNumberFormat="1" applyFill="1" applyBorder="1" applyAlignment="1">
      <alignment horizontal="left" vertical="center"/>
    </xf>
    <xf numFmtId="164" fontId="0" fillId="2" borderId="15" xfId="0" applyNumberFormat="1" applyFill="1" applyBorder="1" applyAlignment="1">
      <alignment horizontal="left" vertical="center"/>
    </xf>
    <xf numFmtId="164" fontId="0" fillId="2" borderId="16" xfId="0" applyNumberFormat="1" applyFill="1" applyBorder="1" applyAlignment="1">
      <alignment horizontal="left" vertical="center"/>
    </xf>
    <xf numFmtId="0" fontId="0" fillId="4" borderId="15" xfId="0" applyFill="1" applyBorder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17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10" fontId="0" fillId="2" borderId="12" xfId="0" applyNumberFormat="1" applyFill="1" applyBorder="1" applyAlignment="1">
      <alignment horizontal="left" vertical="center"/>
    </xf>
    <xf numFmtId="10" fontId="0" fillId="2" borderId="14" xfId="0" applyNumberFormat="1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3" borderId="19" xfId="0" applyFill="1" applyBorder="1" applyAlignment="1">
      <alignment horizontal="left" vertical="center"/>
    </xf>
    <xf numFmtId="10" fontId="0" fillId="5" borderId="12" xfId="0" applyNumberFormat="1" applyFill="1" applyBorder="1" applyAlignment="1">
      <alignment horizontal="left" vertical="center"/>
    </xf>
    <xf numFmtId="10" fontId="0" fillId="5" borderId="14" xfId="0" applyNumberFormat="1" applyFill="1" applyBorder="1" applyAlignment="1">
      <alignment horizontal="left" vertical="center"/>
    </xf>
    <xf numFmtId="0" fontId="0" fillId="9" borderId="0" xfId="0" applyFill="1" applyAlignment="1">
      <alignment horizontal="left" vertical="center" wrapText="1"/>
    </xf>
    <xf numFmtId="0" fontId="3" fillId="9" borderId="0" xfId="0" applyFont="1" applyFill="1" applyAlignment="1">
      <alignment horizontal="left" vertical="center"/>
    </xf>
    <xf numFmtId="0" fontId="0" fillId="2" borderId="14" xfId="0" applyFill="1" applyBorder="1" applyAlignment="1">
      <alignment horizontal="left" vertical="center"/>
    </xf>
    <xf numFmtId="164" fontId="0" fillId="5" borderId="12" xfId="0" applyNumberFormat="1" applyFill="1" applyBorder="1" applyAlignment="1">
      <alignment horizontal="left" vertical="center"/>
    </xf>
    <xf numFmtId="0" fontId="0" fillId="5" borderId="14" xfId="0" applyFill="1" applyBorder="1" applyAlignment="1">
      <alignment horizontal="left" vertical="center"/>
    </xf>
    <xf numFmtId="164" fontId="0" fillId="5" borderId="14" xfId="0" applyNumberFormat="1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/>
    </xf>
    <xf numFmtId="0" fontId="0" fillId="3" borderId="7" xfId="0" applyFill="1" applyBorder="1" applyAlignment="1">
      <alignment horizontal="left" vertical="center"/>
    </xf>
    <xf numFmtId="0" fontId="0" fillId="4" borderId="28" xfId="0" applyFill="1" applyBorder="1" applyAlignment="1">
      <alignment horizontal="left" vertical="center"/>
    </xf>
    <xf numFmtId="0" fontId="0" fillId="4" borderId="13" xfId="0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0" fillId="4" borderId="32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4" borderId="30" xfId="0" applyFill="1" applyBorder="1" applyAlignment="1">
      <alignment horizontal="left" vertical="center"/>
    </xf>
    <xf numFmtId="0" fontId="0" fillId="4" borderId="20" xfId="0" applyFill="1" applyBorder="1" applyAlignment="1">
      <alignment horizontal="left" vertical="center"/>
    </xf>
    <xf numFmtId="2" fontId="0" fillId="2" borderId="12" xfId="0" applyNumberFormat="1" applyFill="1" applyBorder="1" applyAlignment="1">
      <alignment horizontal="left" vertical="center"/>
    </xf>
    <xf numFmtId="2" fontId="0" fillId="2" borderId="13" xfId="0" applyNumberFormat="1" applyFill="1" applyBorder="1" applyAlignment="1">
      <alignment horizontal="left" vertical="center"/>
    </xf>
    <xf numFmtId="2" fontId="0" fillId="2" borderId="14" xfId="0" applyNumberFormat="1" applyFill="1" applyBorder="1" applyAlignment="1">
      <alignment horizontal="left" vertical="center"/>
    </xf>
    <xf numFmtId="10" fontId="0" fillId="2" borderId="13" xfId="0" applyNumberFormat="1" applyFill="1" applyBorder="1" applyAlignment="1">
      <alignment horizontal="left" vertical="center"/>
    </xf>
    <xf numFmtId="164" fontId="0" fillId="2" borderId="13" xfId="0" applyNumberFormat="1" applyFill="1" applyBorder="1" applyAlignment="1">
      <alignment horizontal="left" vertical="center"/>
    </xf>
    <xf numFmtId="0" fontId="3" fillId="9" borderId="0" xfId="0" applyFont="1" applyFill="1" applyAlignment="1">
      <alignment horizontal="center" vertical="center" wrapText="1"/>
    </xf>
    <xf numFmtId="0" fontId="0" fillId="9" borderId="12" xfId="0" applyFill="1" applyBorder="1" applyAlignment="1">
      <alignment horizontal="left" vertical="center" indent="2"/>
    </xf>
    <xf numFmtId="0" fontId="0" fillId="9" borderId="13" xfId="0" applyFill="1" applyBorder="1" applyAlignment="1">
      <alignment horizontal="left" vertical="center" indent="2"/>
    </xf>
    <xf numFmtId="0" fontId="0" fillId="9" borderId="14" xfId="0" applyFill="1" applyBorder="1" applyAlignment="1">
      <alignment horizontal="left" vertical="center" indent="2"/>
    </xf>
    <xf numFmtId="0" fontId="3" fillId="6" borderId="0" xfId="0" applyFont="1" applyFill="1" applyAlignment="1">
      <alignment horizontal="left" vertical="center"/>
    </xf>
    <xf numFmtId="0" fontId="6" fillId="4" borderId="9" xfId="0" applyFont="1" applyFill="1" applyBorder="1" applyAlignment="1">
      <alignment horizontal="left" vertical="center"/>
    </xf>
    <xf numFmtId="0" fontId="6" fillId="4" borderId="10" xfId="0" applyFont="1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23" fillId="15" borderId="10" xfId="0" applyFont="1" applyFill="1" applyBorder="1" applyAlignment="1">
      <alignment horizontal="left" vertical="center" indent="2"/>
    </xf>
    <xf numFmtId="0" fontId="23" fillId="15" borderId="11" xfId="0" applyFont="1" applyFill="1" applyBorder="1" applyAlignment="1">
      <alignment horizontal="left" vertical="center" indent="2"/>
    </xf>
    <xf numFmtId="164" fontId="22" fillId="2" borderId="12" xfId="0" applyNumberFormat="1" applyFont="1" applyFill="1" applyBorder="1" applyAlignment="1">
      <alignment horizontal="center" vertical="center"/>
    </xf>
    <xf numFmtId="164" fontId="22" fillId="2" borderId="13" xfId="0" applyNumberFormat="1" applyFont="1" applyFill="1" applyBorder="1" applyAlignment="1">
      <alignment horizontal="center" vertical="center"/>
    </xf>
    <xf numFmtId="164" fontId="22" fillId="2" borderId="14" xfId="0" applyNumberFormat="1" applyFont="1" applyFill="1" applyBorder="1" applyAlignment="1">
      <alignment horizontal="center" vertical="center"/>
    </xf>
    <xf numFmtId="0" fontId="22" fillId="4" borderId="17" xfId="0" applyFont="1" applyFill="1" applyBorder="1" applyAlignment="1">
      <alignment horizontal="center" vertical="center"/>
    </xf>
    <xf numFmtId="0" fontId="22" fillId="4" borderId="18" xfId="0" applyFont="1" applyFill="1" applyBorder="1" applyAlignment="1">
      <alignment horizontal="center" vertical="center"/>
    </xf>
    <xf numFmtId="0" fontId="22" fillId="4" borderId="19" xfId="0" applyFont="1" applyFill="1" applyBorder="1" applyAlignment="1">
      <alignment horizontal="center" vertical="center"/>
    </xf>
    <xf numFmtId="10" fontId="22" fillId="2" borderId="12" xfId="0" applyNumberFormat="1" applyFont="1" applyFill="1" applyBorder="1" applyAlignment="1">
      <alignment horizontal="center" vertical="center"/>
    </xf>
    <xf numFmtId="10" fontId="22" fillId="2" borderId="13" xfId="0" applyNumberFormat="1" applyFont="1" applyFill="1" applyBorder="1" applyAlignment="1">
      <alignment horizontal="center" vertical="center"/>
    </xf>
    <xf numFmtId="10" fontId="22" fillId="2" borderId="14" xfId="0" applyNumberFormat="1" applyFont="1" applyFill="1" applyBorder="1" applyAlignment="1">
      <alignment horizontal="center" vertical="center"/>
    </xf>
    <xf numFmtId="164" fontId="22" fillId="13" borderId="12" xfId="0" applyNumberFormat="1" applyFont="1" applyFill="1" applyBorder="1" applyAlignment="1">
      <alignment horizontal="center" vertical="center"/>
    </xf>
    <xf numFmtId="164" fontId="22" fillId="13" borderId="14" xfId="0" applyNumberFormat="1" applyFont="1" applyFill="1" applyBorder="1" applyAlignment="1">
      <alignment horizontal="center" vertical="center"/>
    </xf>
    <xf numFmtId="164" fontId="22" fillId="13" borderId="15" xfId="0" applyNumberFormat="1" applyFont="1" applyFill="1" applyBorder="1" applyAlignment="1">
      <alignment horizontal="center" vertical="center"/>
    </xf>
    <xf numFmtId="164" fontId="22" fillId="13" borderId="16" xfId="0" applyNumberFormat="1" applyFont="1" applyFill="1" applyBorder="1" applyAlignment="1">
      <alignment horizontal="center" vertical="center"/>
    </xf>
    <xf numFmtId="0" fontId="23" fillId="17" borderId="15" xfId="0" applyFont="1" applyFill="1" applyBorder="1" applyAlignment="1">
      <alignment horizontal="center" vertical="center"/>
    </xf>
    <xf numFmtId="0" fontId="23" fillId="17" borderId="16" xfId="0" applyFont="1" applyFill="1" applyBorder="1" applyAlignment="1">
      <alignment horizontal="center" vertical="center"/>
    </xf>
    <xf numFmtId="0" fontId="23" fillId="17" borderId="17" xfId="0" applyFont="1" applyFill="1" applyBorder="1" applyAlignment="1">
      <alignment horizontal="center" vertical="center"/>
    </xf>
    <xf numFmtId="0" fontId="23" fillId="17" borderId="19" xfId="0" applyFont="1" applyFill="1" applyBorder="1" applyAlignment="1">
      <alignment horizontal="center" vertical="center"/>
    </xf>
    <xf numFmtId="164" fontId="23" fillId="5" borderId="12" xfId="0" applyNumberFormat="1" applyFont="1" applyFill="1" applyBorder="1" applyAlignment="1">
      <alignment horizontal="center" vertical="center"/>
    </xf>
    <xf numFmtId="164" fontId="23" fillId="5" borderId="14" xfId="0" applyNumberFormat="1" applyFont="1" applyFill="1" applyBorder="1" applyAlignment="1">
      <alignment horizontal="center" vertical="center"/>
    </xf>
    <xf numFmtId="0" fontId="22" fillId="17" borderId="17" xfId="0" applyFont="1" applyFill="1" applyBorder="1" applyAlignment="1">
      <alignment horizontal="center" vertical="center"/>
    </xf>
    <xf numFmtId="0" fontId="22" fillId="17" borderId="19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10" fontId="23" fillId="5" borderId="12" xfId="0" applyNumberFormat="1" applyFont="1" applyFill="1" applyBorder="1" applyAlignment="1">
      <alignment horizontal="center" vertical="center"/>
    </xf>
    <xf numFmtId="10" fontId="23" fillId="5" borderId="14" xfId="0" applyNumberFormat="1" applyFont="1" applyFill="1" applyBorder="1" applyAlignment="1">
      <alignment horizontal="center" vertical="center"/>
    </xf>
    <xf numFmtId="0" fontId="35" fillId="12" borderId="0" xfId="3" applyFont="1" applyFill="1" applyAlignment="1">
      <alignment horizontal="center" vertical="center"/>
    </xf>
    <xf numFmtId="0" fontId="34" fillId="12" borderId="0" xfId="3" applyFont="1" applyFill="1" applyAlignment="1">
      <alignment horizontal="center" vertical="center"/>
    </xf>
    <xf numFmtId="0" fontId="33" fillId="12" borderId="0" xfId="0" applyFont="1" applyFill="1" applyAlignment="1">
      <alignment horizontal="center" vertical="center"/>
    </xf>
    <xf numFmtId="0" fontId="29" fillId="9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 wrapText="1"/>
    </xf>
    <xf numFmtId="0" fontId="31" fillId="9" borderId="41" xfId="0" applyFont="1" applyFill="1" applyBorder="1" applyAlignment="1">
      <alignment horizontal="left" vertical="center" wrapText="1"/>
    </xf>
    <xf numFmtId="0" fontId="31" fillId="9" borderId="42" xfId="0" applyFont="1" applyFill="1" applyBorder="1" applyAlignment="1">
      <alignment horizontal="left" vertical="center" wrapText="1"/>
    </xf>
    <xf numFmtId="0" fontId="31" fillId="9" borderId="43" xfId="0" applyFont="1" applyFill="1" applyBorder="1" applyAlignment="1">
      <alignment horizontal="left" vertical="center" wrapText="1"/>
    </xf>
    <xf numFmtId="0" fontId="31" fillId="9" borderId="44" xfId="0" applyFont="1" applyFill="1" applyBorder="1" applyAlignment="1">
      <alignment horizontal="left" vertical="center" wrapText="1"/>
    </xf>
    <xf numFmtId="0" fontId="31" fillId="9" borderId="0" xfId="0" applyFont="1" applyFill="1" applyBorder="1" applyAlignment="1">
      <alignment horizontal="left" vertical="center" wrapText="1"/>
    </xf>
    <xf numFmtId="0" fontId="31" fillId="9" borderId="45" xfId="0" applyFont="1" applyFill="1" applyBorder="1" applyAlignment="1">
      <alignment horizontal="left" vertical="center" wrapText="1"/>
    </xf>
    <xf numFmtId="0" fontId="31" fillId="9" borderId="46" xfId="0" applyFont="1" applyFill="1" applyBorder="1" applyAlignment="1">
      <alignment horizontal="left" vertical="center" wrapText="1"/>
    </xf>
    <xf numFmtId="0" fontId="31" fillId="9" borderId="47" xfId="0" applyFont="1" applyFill="1" applyBorder="1" applyAlignment="1">
      <alignment horizontal="left" vertical="center" wrapText="1"/>
    </xf>
    <xf numFmtId="0" fontId="31" fillId="9" borderId="48" xfId="0" applyFont="1" applyFill="1" applyBorder="1" applyAlignment="1">
      <alignment horizontal="left" vertical="center" wrapText="1"/>
    </xf>
    <xf numFmtId="0" fontId="22" fillId="4" borderId="15" xfId="0" applyFont="1" applyFill="1" applyBorder="1" applyAlignment="1">
      <alignment horizontal="left" vertical="center" wrapText="1"/>
    </xf>
    <xf numFmtId="0" fontId="22" fillId="4" borderId="0" xfId="0" applyFont="1" applyFill="1" applyBorder="1" applyAlignment="1">
      <alignment horizontal="left" vertical="center" wrapText="1"/>
    </xf>
    <xf numFmtId="0" fontId="22" fillId="4" borderId="12" xfId="0" applyFont="1" applyFill="1" applyBorder="1" applyAlignment="1">
      <alignment horizontal="left" vertical="center" wrapText="1"/>
    </xf>
    <xf numFmtId="0" fontId="22" fillId="4" borderId="13" xfId="0" applyFont="1" applyFill="1" applyBorder="1" applyAlignment="1">
      <alignment horizontal="left" vertical="center" wrapText="1"/>
    </xf>
    <xf numFmtId="0" fontId="23" fillId="16" borderId="49" xfId="0" applyFont="1" applyFill="1" applyBorder="1" applyAlignment="1">
      <alignment horizontal="left" vertical="center" wrapText="1"/>
    </xf>
    <xf numFmtId="0" fontId="23" fillId="16" borderId="40" xfId="0" applyFont="1" applyFill="1" applyBorder="1" applyAlignment="1">
      <alignment horizontal="left" vertical="center" wrapText="1"/>
    </xf>
    <xf numFmtId="0" fontId="22" fillId="4" borderId="9" xfId="0" applyFont="1" applyFill="1" applyBorder="1" applyAlignment="1">
      <alignment horizontal="left" vertical="center" wrapText="1"/>
    </xf>
    <xf numFmtId="0" fontId="22" fillId="4" borderId="10" xfId="0" applyFont="1" applyFill="1" applyBorder="1" applyAlignment="1">
      <alignment horizontal="left" vertical="center" wrapText="1"/>
    </xf>
    <xf numFmtId="0" fontId="22" fillId="13" borderId="9" xfId="0" applyFont="1" applyFill="1" applyBorder="1" applyAlignment="1">
      <alignment horizontal="left" vertical="center" wrapText="1"/>
    </xf>
    <xf numFmtId="0" fontId="22" fillId="13" borderId="10" xfId="0" applyFont="1" applyFill="1" applyBorder="1" applyAlignment="1">
      <alignment horizontal="left" vertical="center" wrapText="1"/>
    </xf>
    <xf numFmtId="0" fontId="22" fillId="4" borderId="49" xfId="0" applyFont="1" applyFill="1" applyBorder="1" applyAlignment="1">
      <alignment horizontal="left" vertical="center" wrapText="1"/>
    </xf>
    <xf numFmtId="0" fontId="22" fillId="4" borderId="40" xfId="0" applyFont="1" applyFill="1" applyBorder="1" applyAlignment="1">
      <alignment horizontal="left" vertical="center" wrapText="1"/>
    </xf>
    <xf numFmtId="0" fontId="22" fillId="4" borderId="21" xfId="0" applyFont="1" applyFill="1" applyBorder="1" applyAlignment="1">
      <alignment horizontal="left" vertical="center" wrapText="1"/>
    </xf>
    <xf numFmtId="0" fontId="22" fillId="4" borderId="20" xfId="0" applyFont="1" applyFill="1" applyBorder="1" applyAlignment="1">
      <alignment horizontal="left" vertical="center" wrapText="1"/>
    </xf>
    <xf numFmtId="0" fontId="22" fillId="4" borderId="17" xfId="0" applyFont="1" applyFill="1" applyBorder="1" applyAlignment="1">
      <alignment horizontal="left" vertical="center" wrapText="1"/>
    </xf>
    <xf numFmtId="0" fontId="22" fillId="4" borderId="18" xfId="0" applyFont="1" applyFill="1" applyBorder="1" applyAlignment="1">
      <alignment horizontal="left" vertical="center" wrapText="1"/>
    </xf>
    <xf numFmtId="0" fontId="23" fillId="17" borderId="15" xfId="0" applyFont="1" applyFill="1" applyBorder="1" applyAlignment="1">
      <alignment horizontal="center" vertical="center" wrapText="1"/>
    </xf>
    <xf numFmtId="0" fontId="23" fillId="17" borderId="16" xfId="0" applyFont="1" applyFill="1" applyBorder="1" applyAlignment="1">
      <alignment horizontal="center" vertical="center" wrapText="1"/>
    </xf>
    <xf numFmtId="0" fontId="23" fillId="17" borderId="17" xfId="0" applyFont="1" applyFill="1" applyBorder="1" applyAlignment="1">
      <alignment horizontal="center" vertical="center" wrapText="1"/>
    </xf>
    <xf numFmtId="0" fontId="23" fillId="17" borderId="19" xfId="0" applyFont="1" applyFill="1" applyBorder="1" applyAlignment="1">
      <alignment horizontal="center" vertical="center" wrapText="1"/>
    </xf>
    <xf numFmtId="171" fontId="23" fillId="9" borderId="10" xfId="0" applyNumberFormat="1" applyFont="1" applyFill="1" applyBorder="1" applyAlignment="1">
      <alignment horizontal="left" vertical="center" indent="2"/>
    </xf>
    <xf numFmtId="171" fontId="23" fillId="9" borderId="11" xfId="0" applyNumberFormat="1" applyFont="1" applyFill="1" applyBorder="1" applyAlignment="1">
      <alignment horizontal="left" vertical="center" indent="2"/>
    </xf>
    <xf numFmtId="2" fontId="22" fillId="2" borderId="12" xfId="0" applyNumberFormat="1" applyFont="1" applyFill="1" applyBorder="1" applyAlignment="1">
      <alignment horizontal="center" vertical="center"/>
    </xf>
    <xf numFmtId="2" fontId="22" fillId="2" borderId="13" xfId="0" applyNumberFormat="1" applyFont="1" applyFill="1" applyBorder="1" applyAlignment="1">
      <alignment horizontal="center" vertical="center"/>
    </xf>
    <xf numFmtId="2" fontId="22" fillId="2" borderId="14" xfId="0" applyNumberFormat="1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</cellXfs>
  <cellStyles count="5">
    <cellStyle name="Currency" xfId="2" builtinId="4"/>
    <cellStyle name="Explanatory Text" xfId="1" builtinId="53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A95198"/>
      <color rgb="FF44A55C"/>
      <color rgb="FF96EAA9"/>
      <color rgb="FFDD90CE"/>
      <color rgb="FF161314"/>
      <color rgb="FF51AC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Expenses</a:t>
            </a:r>
          </a:p>
        </c:rich>
      </c:tx>
      <c:layout>
        <c:manualLayout>
          <c:xMode val="edge"/>
          <c:yMode val="edge"/>
          <c:x val="2.1130604288499014E-2"/>
          <c:y val="3.703703703703703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99942697221327"/>
          <c:y val="0.22078681831437738"/>
          <c:w val="0.40287467191601051"/>
          <c:h val="0.6714577865266842"/>
        </c:manualLayout>
      </c:layout>
      <c:pieChart>
        <c:varyColors val="1"/>
        <c:ser>
          <c:idx val="0"/>
          <c:order val="0"/>
          <c:tx>
            <c:v>Monthly Expenses+'3. Rent &amp; Expenses'!$AA$12:$AA$23</c:v>
          </c:tx>
          <c:dLbls>
            <c:dLbl>
              <c:idx val="0"/>
              <c:layout>
                <c:manualLayout>
                  <c:x val="0.52941647370083433"/>
                  <c:y val="0.1052726742490522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925-4FCA-BFF4-79916F488C4B}"/>
                </c:ext>
              </c:extLst>
            </c:dLbl>
            <c:dLbl>
              <c:idx val="1"/>
              <c:layout>
                <c:manualLayout>
                  <c:x val="0.17484534001550595"/>
                  <c:y val="8.4741907261592295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925-4FCA-BFF4-79916F488C4B}"/>
                </c:ext>
              </c:extLst>
            </c:dLbl>
            <c:dLbl>
              <c:idx val="3"/>
              <c:layout>
                <c:manualLayout>
                  <c:x val="8.7509790299673984E-2"/>
                  <c:y val="9.63697871099445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F925-4FCA-BFF4-79916F488C4B}"/>
                </c:ext>
              </c:extLst>
            </c:dLbl>
            <c:dLbl>
              <c:idx val="4"/>
              <c:layout>
                <c:manualLayout>
                  <c:x val="0.13831882010987329"/>
                  <c:y val="2.270341207349081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925-4FCA-BFF4-79916F488C4B}"/>
                </c:ext>
              </c:extLst>
            </c:dLbl>
            <c:dLbl>
              <c:idx val="5"/>
              <c:layout>
                <c:manualLayout>
                  <c:x val="0.22480866230655688"/>
                  <c:y val="-7.4074365704286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078958725589312"/>
                      <c:h val="0.125925925925925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A-F925-4FCA-BFF4-79916F488C4B}"/>
                </c:ext>
              </c:extLst>
            </c:dLbl>
            <c:dLbl>
              <c:idx val="6"/>
              <c:layout>
                <c:manualLayout>
                  <c:x val="0.61904641127145033"/>
                  <c:y val="-0.7464835228929717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F925-4FCA-BFF4-79916F488C4B}"/>
                </c:ext>
              </c:extLst>
            </c:dLbl>
            <c:dLbl>
              <c:idx val="7"/>
              <c:layout>
                <c:manualLayout>
                  <c:x val="-9.9493949333902945E-2"/>
                  <c:y val="-4.325925925925926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925-4FCA-BFF4-79916F488C4B}"/>
                </c:ext>
              </c:extLst>
            </c:dLbl>
            <c:dLbl>
              <c:idx val="8"/>
              <c:layout>
                <c:manualLayout>
                  <c:x val="-4.7167018516397638E-2"/>
                  <c:y val="-0.16918518518518519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F925-4FCA-BFF4-79916F488C4B}"/>
                </c:ext>
              </c:extLst>
            </c:dLbl>
            <c:dLbl>
              <c:idx val="10"/>
              <c:layout>
                <c:manualLayout>
                  <c:x val="0.59751270575811632"/>
                  <c:y val="0.2053426655001458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F925-4FCA-BFF4-79916F488C4B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'3. Rent &amp; Expenses'!$AA$12:$AA$23</c:f>
              <c:strCache>
                <c:ptCount val="12"/>
                <c:pt idx="0">
                  <c:v>Electric ($):</c:v>
                </c:pt>
                <c:pt idx="1">
                  <c:v>Garbage ($):</c:v>
                </c:pt>
                <c:pt idx="2">
                  <c:v>Taxes ($):</c:v>
                </c:pt>
                <c:pt idx="3">
                  <c:v>Vacancy (%):</c:v>
                </c:pt>
                <c:pt idx="4">
                  <c:v>Cap. Ex. (%):</c:v>
                </c:pt>
                <c:pt idx="5">
                  <c:v>Water &amp; Sewer ($):</c:v>
                </c:pt>
                <c:pt idx="6">
                  <c:v>HOA ($):</c:v>
                </c:pt>
                <c:pt idx="7">
                  <c:v>Other Expenses ($):</c:v>
                </c:pt>
                <c:pt idx="8">
                  <c:v>Repairs &amp; Maintenance (%):</c:v>
                </c:pt>
                <c:pt idx="9">
                  <c:v>Management Fees (%):</c:v>
                </c:pt>
                <c:pt idx="10">
                  <c:v>PMI ($):</c:v>
                </c:pt>
                <c:pt idx="11">
                  <c:v>Insurance ($):</c:v>
                </c:pt>
              </c:strCache>
            </c:strRef>
          </c:cat>
          <c:val>
            <c:numRef>
              <c:f>'3. Rent &amp; Expenses'!$AB$12:$AB$23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50</c:v>
                </c:pt>
                <c:pt idx="2">
                  <c:v>52</c:v>
                </c:pt>
                <c:pt idx="3">
                  <c:v>35</c:v>
                </c:pt>
                <c:pt idx="4">
                  <c:v>43.75</c:v>
                </c:pt>
                <c:pt idx="5">
                  <c:v>0</c:v>
                </c:pt>
                <c:pt idx="6">
                  <c:v>0</c:v>
                </c:pt>
                <c:pt idx="7">
                  <c:v>50</c:v>
                </c:pt>
                <c:pt idx="8">
                  <c:v>43.75</c:v>
                </c:pt>
                <c:pt idx="9">
                  <c:v>70</c:v>
                </c:pt>
                <c:pt idx="10">
                  <c:v>0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925-4FCA-BFF4-79916F488C4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Income</a:t>
            </a:r>
          </a:p>
        </c:rich>
      </c:tx>
      <c:layout>
        <c:manualLayout>
          <c:xMode val="edge"/>
          <c:yMode val="edge"/>
          <c:x val="2.3729694606887588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8721687566832E-2"/>
          <c:y val="0.20597200349956254"/>
          <c:w val="0.40287467191601051"/>
          <c:h val="0.6714577865266842"/>
        </c:manualLayout>
      </c:layout>
      <c:pieChart>
        <c:varyColors val="1"/>
        <c:ser>
          <c:idx val="0"/>
          <c:order val="0"/>
          <c:tx>
            <c:v>Income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DA6-4A0A-BBDF-0E906E927FD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DA6-4A0A-BBDF-0E906E927FD5}"/>
              </c:ext>
            </c:extLst>
          </c:dPt>
          <c:dLbls>
            <c:dLbl>
              <c:idx val="0"/>
              <c:layout>
                <c:manualLayout>
                  <c:x val="0.24140034154671872"/>
                  <c:y val="-0.1813465123944881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1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6066077022609982"/>
                      <c:h val="0.262685143584613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DA6-4A0A-BBDF-0E906E927FD5}"/>
                </c:ext>
              </c:extLst>
            </c:dLbl>
            <c:dLbl>
              <c:idx val="1"/>
              <c:layout>
                <c:manualLayout>
                  <c:x val="0.41193905351090171"/>
                  <c:y val="0.2370787079196899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1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8994868871942573"/>
                      <c:h val="0.182429171271226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DA6-4A0A-BBDF-0E906E927F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('3. Rent &amp; Expenses'!$B$9:$C$9,'3. Rent &amp; Expenses'!$B$10:$C$10)</c:f>
              <c:strCache>
                <c:ptCount val="2"/>
                <c:pt idx="0">
                  <c:v>Total Rental Income ($):</c:v>
                </c:pt>
                <c:pt idx="1">
                  <c:v>Other Income ($):</c:v>
                </c:pt>
              </c:strCache>
            </c:strRef>
          </c:cat>
          <c:val>
            <c:numRef>
              <c:f>('3. Rent &amp; Expenses'!$D$9,'3. Rent &amp; Expenses'!$D$10)</c:f>
              <c:numCache>
                <c:formatCode>"$"#,##0.00</c:formatCode>
                <c:ptCount val="2"/>
                <c:pt idx="0">
                  <c:v>875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A6-4A0A-BBDF-0E906E927F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50% Rule</a:t>
            </a:r>
          </a:p>
        </c:rich>
      </c:tx>
      <c:layout>
        <c:manualLayout>
          <c:xMode val="edge"/>
          <c:yMode val="edge"/>
          <c:x val="4.276595764355394E-2"/>
          <c:y val="5.72707015830050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45808455229645"/>
          <c:y val="0.21496148116620559"/>
          <c:w val="0.40287467191601051"/>
          <c:h val="0.671457786526684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'4. Report'!$I$47:$J$47</c:f>
              <c:strCache>
                <c:ptCount val="2"/>
                <c:pt idx="0">
                  <c:v>Monthly 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'4. Report'!$D$74</c:f>
              <c:numCache>
                <c:formatCode>"$"#,##0.00</c:formatCode>
                <c:ptCount val="1"/>
                <c:pt idx="0">
                  <c:v>376.5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41-415C-83F9-FEB123290184}"/>
            </c:ext>
          </c:extLst>
        </c:ser>
        <c:ser>
          <c:idx val="1"/>
          <c:order val="1"/>
          <c:tx>
            <c:v>50% Rule</c:v>
          </c:tx>
          <c:spPr>
            <a:gradFill rotWithShape="1">
              <a:gsLst>
                <a:gs pos="0">
                  <a:schemeClr val="accent2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'4. Report'!$D$78</c:f>
              <c:numCache>
                <c:formatCode>"$"#,##0.00</c:formatCode>
                <c:ptCount val="1"/>
                <c:pt idx="0">
                  <c:v>437.5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41-415C-83F9-FEB123290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286765008"/>
        <c:axId val="1285633248"/>
      </c:barChart>
      <c:valAx>
        <c:axId val="12856332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765008"/>
        <c:crosses val="autoZero"/>
        <c:crossBetween val="between"/>
      </c:valAx>
      <c:catAx>
        <c:axId val="1286765008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5633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518187253771345"/>
          <c:y val="0.33813783411902049"/>
          <c:w val="0.20822855290139319"/>
          <c:h val="0.434901081209967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1"/>
                </a:solidFill>
              </a:rPr>
              <a:t>Income, Expenses and Cashflow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Income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1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 Forma'!$W$16:$AZ$16</c15:sqref>
                  </c15:fullRef>
                </c:ext>
              </c:extLst>
              <c:f>('Pro Forma'!$W$16,'Pro Forma'!$AA$16,'Pro Forma'!$AF$16,'Pro Forma'!$AK$16,'Pro Forma'!$AP$16,'Pro Forma'!$AU$16,'Pro Forma'!$AZ$16)</c:f>
              <c:numCache>
                <c:formatCode>"$"#,##0.00</c:formatCode>
                <c:ptCount val="7"/>
                <c:pt idx="0">
                  <c:v>10500</c:v>
                </c:pt>
                <c:pt idx="1">
                  <c:v>11365.537679999999</c:v>
                </c:pt>
                <c:pt idx="2">
                  <c:v>12548.471970534263</c:v>
                </c:pt>
                <c:pt idx="3">
                  <c:v>13854.527012160157</c:v>
                </c:pt>
                <c:pt idx="4">
                  <c:v>15296.51731154188</c:v>
                </c:pt>
                <c:pt idx="5">
                  <c:v>16888.591119489862</c:v>
                </c:pt>
                <c:pt idx="6">
                  <c:v>18646.369248122755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3A-4BB1-9789-3621A665C4D6}"/>
            </c:ext>
          </c:extLst>
        </c:ser>
        <c:ser>
          <c:idx val="1"/>
          <c:order val="1"/>
          <c:tx>
            <c:v>Expenses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1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 Forma'!$W$17:$AZ$17</c15:sqref>
                  </c15:fullRef>
                </c:ext>
              </c:extLst>
              <c:f>('Pro Forma'!$W$17,'Pro Forma'!$AA$17,'Pro Forma'!$AF$17,'Pro Forma'!$AK$17,'Pro Forma'!$AP$17,'Pro Forma'!$AU$17,'Pro Forma'!$AZ$17)</c:f>
              <c:numCache>
                <c:formatCode>"$"#,##0.00</c:formatCode>
                <c:ptCount val="7"/>
                <c:pt idx="0">
                  <c:v>4518</c:v>
                </c:pt>
                <c:pt idx="1">
                  <c:v>4890.42849888</c:v>
                </c:pt>
                <c:pt idx="2">
                  <c:v>5399.4282250356</c:v>
                </c:pt>
                <c:pt idx="3">
                  <c:v>5961.4050515180561</c:v>
                </c:pt>
                <c:pt idx="4">
                  <c:v>6581.8728774805923</c:v>
                </c:pt>
                <c:pt idx="5">
                  <c:v>7266.9194931290667</c:v>
                </c:pt>
                <c:pt idx="6">
                  <c:v>8023.2663107636772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43A-4BB1-9789-3621A665C4D6}"/>
            </c:ext>
          </c:extLst>
        </c:ser>
        <c:ser>
          <c:idx val="2"/>
          <c:order val="2"/>
          <c:tx>
            <c:v>Cash Flow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1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 Forma'!$W$19:$AZ$19</c15:sqref>
                  </c15:fullRef>
                </c:ext>
              </c:extLst>
              <c:f>('Pro Forma'!$W$19,'Pro Forma'!$AA$19,'Pro Forma'!$AF$19,'Pro Forma'!$AK$19,'Pro Forma'!$AP$19,'Pro Forma'!$AU$19,'Pro Forma'!$AZ$19)</c:f>
              <c:numCache>
                <c:formatCode>"$"#,##0.00</c:formatCode>
                <c:ptCount val="7"/>
                <c:pt idx="0">
                  <c:v>5982</c:v>
                </c:pt>
                <c:pt idx="1">
                  <c:v>6475.1091811199994</c:v>
                </c:pt>
                <c:pt idx="2">
                  <c:v>7149.0437454986632</c:v>
                </c:pt>
                <c:pt idx="3">
                  <c:v>7893.1219606421009</c:v>
                </c:pt>
                <c:pt idx="4">
                  <c:v>8714.644434061287</c:v>
                </c:pt>
                <c:pt idx="5">
                  <c:v>9621.6716263607959</c:v>
                </c:pt>
                <c:pt idx="6">
                  <c:v>10623.102937359079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43A-4BB1-9789-3621A665C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8794864"/>
        <c:axId val="1281517168"/>
      </c:lineChart>
      <c:catAx>
        <c:axId val="157879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517168"/>
        <c:crossesAt val="0"/>
        <c:auto val="1"/>
        <c:lblAlgn val="ctr"/>
        <c:lblOffset val="100"/>
        <c:tickMarkSkip val="2"/>
        <c:noMultiLvlLbl val="0"/>
      </c:catAx>
      <c:valAx>
        <c:axId val="128151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79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>
      <a:outerShdw blurRad="50800" dist="50800" dir="5400000" algn="ctr" rotWithShape="0">
        <a:schemeClr val="tx2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1"/>
                </a:solidFill>
              </a:rPr>
              <a:t>Loan Balance, Equity and Property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Loan Balance</c:v>
          </c:tx>
          <c:spPr>
            <a:solidFill>
              <a:schemeClr val="accent2">
                <a:alpha val="50000"/>
              </a:schemeClr>
            </a:solidFill>
            <a:ln>
              <a:noFill/>
            </a:ln>
            <a:effectLst/>
          </c:spPr>
          <c:cat>
            <c:strLit>
              <c:ptCount val="7"/>
              <c:pt idx="0">
                <c:v>1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 Forma'!$W$27:$AZ$27</c15:sqref>
                  </c15:fullRef>
                </c:ext>
              </c:extLst>
              <c:f>('Pro Forma'!$W$27,'Pro Forma'!$AA$27,'Pro Forma'!$AF$27,'Pro Forma'!$AK$27,'Pro Forma'!$AP$27,'Pro Forma'!$AU$27,'Pro Forma'!$AZ$27)</c:f>
              <c:numCache>
                <c:formatCode>"$"#,##0.00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4F-4AB8-B54C-8B4D7430C5EF}"/>
            </c:ext>
          </c:extLst>
        </c:ser>
        <c:ser>
          <c:idx val="1"/>
          <c:order val="1"/>
          <c:tx>
            <c:v>Equity</c:v>
          </c:tx>
          <c:spPr>
            <a:solidFill>
              <a:schemeClr val="accent1">
                <a:alpha val="50000"/>
              </a:schemeClr>
            </a:solidFill>
            <a:ln w="25400">
              <a:noFill/>
            </a:ln>
            <a:effectLst/>
          </c:spPr>
          <c:cat>
            <c:strLit>
              <c:ptCount val="7"/>
              <c:pt idx="0">
                <c:v>1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 Forma'!$W$26:$AZ$26</c15:sqref>
                  </c15:fullRef>
                </c:ext>
              </c:extLst>
              <c:f>('Pro Forma'!$W$26,'Pro Forma'!$AA$26,'Pro Forma'!$AF$26,'Pro Forma'!$AK$26,'Pro Forma'!$AP$26,'Pro Forma'!$AU$26,'Pro Forma'!$AZ$26)</c:f>
              <c:numCache>
                <c:formatCode>"$"#,##0.00</c:formatCode>
                <c:ptCount val="7"/>
                <c:pt idx="0">
                  <c:v>89760</c:v>
                </c:pt>
                <c:pt idx="1">
                  <c:v>97159.110681599996</c:v>
                </c:pt>
                <c:pt idx="2">
                  <c:v>107271.50895953862</c:v>
                </c:pt>
                <c:pt idx="3">
                  <c:v>118436.41377252337</c:v>
                </c:pt>
                <c:pt idx="4">
                  <c:v>130763.37084609517</c:v>
                </c:pt>
                <c:pt idx="5">
                  <c:v>144373.32751289621</c:v>
                </c:pt>
                <c:pt idx="6">
                  <c:v>159399.8194010951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4F-4AB8-B54C-8B4D7430C5EF}"/>
            </c:ext>
          </c:extLst>
        </c:ser>
        <c:ser>
          <c:idx val="2"/>
          <c:order val="2"/>
          <c:tx>
            <c:v>Property Value</c:v>
          </c:tx>
          <c:spPr>
            <a:solidFill>
              <a:schemeClr val="tx2">
                <a:alpha val="30000"/>
              </a:schemeClr>
            </a:solidFill>
            <a:ln w="25400">
              <a:noFill/>
            </a:ln>
            <a:effectLst>
              <a:outerShdw blurRad="50800" dist="50800" dir="5400000" algn="ctr" rotWithShape="0">
                <a:srgbClr val="000000">
                  <a:alpha val="29000"/>
                </a:srgbClr>
              </a:outerShdw>
            </a:effectLst>
          </c:spPr>
          <c:cat>
            <c:strLit>
              <c:ptCount val="7"/>
              <c:pt idx="0">
                <c:v>1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 Forma'!$W$28:$AZ$28</c15:sqref>
                  </c15:fullRef>
                </c:ext>
              </c:extLst>
              <c:f>('Pro Forma'!$W$28,'Pro Forma'!$AA$28,'Pro Forma'!$AF$28,'Pro Forma'!$AK$28,'Pro Forma'!$AP$28,'Pro Forma'!$AU$28,'Pro Forma'!$AZ$28)</c:f>
              <c:numCache>
                <c:formatCode>"$"#,##0.00</c:formatCode>
                <c:ptCount val="7"/>
                <c:pt idx="0">
                  <c:v>89760</c:v>
                </c:pt>
                <c:pt idx="1">
                  <c:v>97159.110681599996</c:v>
                </c:pt>
                <c:pt idx="2">
                  <c:v>107271.50895953862</c:v>
                </c:pt>
                <c:pt idx="3">
                  <c:v>118436.41377252337</c:v>
                </c:pt>
                <c:pt idx="4">
                  <c:v>130763.37084609517</c:v>
                </c:pt>
                <c:pt idx="5">
                  <c:v>144373.32751289621</c:v>
                </c:pt>
                <c:pt idx="6">
                  <c:v>159399.8194010951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4F-4AB8-B54C-8B4D7430C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083680"/>
        <c:axId val="1535796368"/>
      </c:areaChart>
      <c:catAx>
        <c:axId val="14400836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796368"/>
        <c:crosses val="autoZero"/>
        <c:auto val="1"/>
        <c:lblAlgn val="ctr"/>
        <c:lblOffset val="100"/>
        <c:tickMarkSkip val="5"/>
        <c:noMultiLvlLbl val="0"/>
      </c:catAx>
      <c:valAx>
        <c:axId val="153579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0083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>
      <a:outerShdw blurRad="50800" dist="50800" dir="5400000" algn="t" rotWithShape="0">
        <a:schemeClr val="tx2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600"/>
              <a:t>Monthly Expenses</a:t>
            </a:r>
          </a:p>
        </c:rich>
      </c:tx>
      <c:layout>
        <c:manualLayout>
          <c:xMode val="edge"/>
          <c:yMode val="edge"/>
          <c:x val="2.1130604288499014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99942697221327"/>
          <c:y val="0.22078681831437738"/>
          <c:w val="0.40287467191601051"/>
          <c:h val="0.6714577865266842"/>
        </c:manualLayout>
      </c:layout>
      <c:pieChart>
        <c:varyColors val="1"/>
        <c:ser>
          <c:idx val="0"/>
          <c:order val="0"/>
          <c:tx>
            <c:v>Monthly Expenses</c:v>
          </c:tx>
          <c:dPt>
            <c:idx val="0"/>
            <c:bubble3D val="0"/>
            <c:spPr>
              <a:gradFill rotWithShape="1">
                <a:gsLst>
                  <a:gs pos="0">
                    <a:schemeClr val="accent3">
                      <a:shade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hade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shade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9354-43B3-98F7-99500C10B28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hade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shade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9354-43B3-98F7-99500C10B28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hade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shade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9354-43B3-98F7-99500C10B28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3">
                      <a:shade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hade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shade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9354-43B3-98F7-99500C10B28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3">
                      <a:shade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hade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shade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9354-43B3-98F7-99500C10B28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3">
                      <a:shade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hade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shade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9354-43B3-98F7-99500C10B28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3">
                      <a:tint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tint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tint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9354-43B3-98F7-99500C10B28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3">
                      <a:tint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tint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tint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9354-43B3-98F7-99500C10B28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tint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tint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tint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9354-43B3-98F7-99500C10B28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3">
                      <a:tint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tint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tint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9354-43B3-98F7-99500C10B28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3">
                      <a:tint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tint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tint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9354-43B3-98F7-99500C10B28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3">
                      <a:tint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tint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tint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9354-43B3-98F7-99500C10B28F}"/>
              </c:ext>
            </c:extLst>
          </c:dPt>
          <c:dLbls>
            <c:dLbl>
              <c:idx val="0"/>
              <c:layout>
                <c:manualLayout>
                  <c:x val="0.54592210386657136"/>
                  <c:y val="1.370428696412948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354-43B3-98F7-99500C10B28F}"/>
                </c:ext>
              </c:extLst>
            </c:dLbl>
            <c:dLbl>
              <c:idx val="1"/>
              <c:layout>
                <c:manualLayout>
                  <c:x val="-1.79696363865448E-2"/>
                  <c:y val="-6.210634781763389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9354-43B3-98F7-99500C10B28F}"/>
                </c:ext>
              </c:extLst>
            </c:dLbl>
            <c:dLbl>
              <c:idx val="2"/>
              <c:layout>
                <c:manualLayout>
                  <c:x val="7.3284331361413838E-2"/>
                  <c:y val="4.053815495285311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9354-43B3-98F7-99500C10B28F}"/>
                </c:ext>
              </c:extLst>
            </c:dLbl>
            <c:dLbl>
              <c:idx val="3"/>
              <c:layout>
                <c:manualLayout>
                  <c:x val="5.7052443343367502E-2"/>
                  <c:y val="1.520365509866822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9354-43B3-98F7-99500C10B28F}"/>
                </c:ext>
              </c:extLst>
            </c:dLbl>
            <c:dLbl>
              <c:idx val="4"/>
              <c:layout>
                <c:manualLayout>
                  <c:x val="4.8585394437031346E-2"/>
                  <c:y val="-4.828813065033537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9354-43B3-98F7-99500C10B28F}"/>
                </c:ext>
              </c:extLst>
            </c:dLbl>
            <c:dLbl>
              <c:idx val="5"/>
              <c:layout>
                <c:manualLayout>
                  <c:x val="0.13875752373058631"/>
                  <c:y val="-8.684456109652960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9354-43B3-98F7-99500C10B28F}"/>
                </c:ext>
              </c:extLst>
            </c:dLbl>
            <c:dLbl>
              <c:idx val="6"/>
              <c:layout>
                <c:manualLayout>
                  <c:x val="0.64637201726302429"/>
                  <c:y val="-0.3748785846213667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9354-43B3-98F7-99500C10B28F}"/>
                </c:ext>
              </c:extLst>
            </c:dLbl>
            <c:dLbl>
              <c:idx val="7"/>
              <c:layout>
                <c:manualLayout>
                  <c:x val="-4.1067599343604315E-2"/>
                  <c:y val="-8.325653737727319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9354-43B3-98F7-99500C10B28F}"/>
                </c:ext>
              </c:extLst>
            </c:dLbl>
            <c:dLbl>
              <c:idx val="8"/>
              <c:layout>
                <c:manualLayout>
                  <c:x val="-4.8582991105591958E-2"/>
                  <c:y val="-5.55501117915816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630230388868114"/>
                      <c:h val="0.233333333333333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A-9354-43B3-98F7-99500C10B28F}"/>
                </c:ext>
              </c:extLst>
            </c:dLbl>
            <c:dLbl>
              <c:idx val="9"/>
              <c:layout>
                <c:manualLayout>
                  <c:x val="-8.4142718092401619E-2"/>
                  <c:y val="0.1366323515116166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112204386932347"/>
                      <c:h val="0.2556296296296296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9-9354-43B3-98F7-99500C10B28F}"/>
                </c:ext>
              </c:extLst>
            </c:dLbl>
            <c:dLbl>
              <c:idx val="10"/>
              <c:layout>
                <c:manualLayout>
                  <c:x val="0.61438918313348478"/>
                  <c:y val="0.142787012734519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354-43B3-98F7-99500C10B28F}"/>
                </c:ext>
              </c:extLst>
            </c:dLbl>
            <c:dLbl>
              <c:idx val="11"/>
              <c:layout>
                <c:manualLayout>
                  <c:x val="-6.7837279449380575E-2"/>
                  <c:y val="8.187071060561874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354-43B3-98F7-99500C10B2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 Rent &amp; Expenses'!$AA$12:$AA$23</c:f>
              <c:strCache>
                <c:ptCount val="12"/>
                <c:pt idx="0">
                  <c:v>Electric ($):</c:v>
                </c:pt>
                <c:pt idx="1">
                  <c:v>Garbage ($):</c:v>
                </c:pt>
                <c:pt idx="2">
                  <c:v>Taxes ($):</c:v>
                </c:pt>
                <c:pt idx="3">
                  <c:v>Vacancy (%):</c:v>
                </c:pt>
                <c:pt idx="4">
                  <c:v>Cap. Ex. (%):</c:v>
                </c:pt>
                <c:pt idx="5">
                  <c:v>Water &amp; Sewer ($):</c:v>
                </c:pt>
                <c:pt idx="6">
                  <c:v>HOA ($):</c:v>
                </c:pt>
                <c:pt idx="7">
                  <c:v>Other Expenses ($):</c:v>
                </c:pt>
                <c:pt idx="8">
                  <c:v>Repairs &amp; Maintenance (%):</c:v>
                </c:pt>
                <c:pt idx="9">
                  <c:v>Management Fees (%):</c:v>
                </c:pt>
                <c:pt idx="10">
                  <c:v>PMI ($):</c:v>
                </c:pt>
                <c:pt idx="11">
                  <c:v>Insurance ($):</c:v>
                </c:pt>
              </c:strCache>
            </c:strRef>
          </c:cat>
          <c:val>
            <c:numRef>
              <c:f>'3. Rent &amp; Expenses'!$AB$12:$AB$23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50</c:v>
                </c:pt>
                <c:pt idx="2">
                  <c:v>52</c:v>
                </c:pt>
                <c:pt idx="3">
                  <c:v>35</c:v>
                </c:pt>
                <c:pt idx="4">
                  <c:v>43.75</c:v>
                </c:pt>
                <c:pt idx="5">
                  <c:v>0</c:v>
                </c:pt>
                <c:pt idx="6">
                  <c:v>0</c:v>
                </c:pt>
                <c:pt idx="7">
                  <c:v>50</c:v>
                </c:pt>
                <c:pt idx="8">
                  <c:v>43.75</c:v>
                </c:pt>
                <c:pt idx="9">
                  <c:v>70</c:v>
                </c:pt>
                <c:pt idx="10">
                  <c:v>0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354-43B3-98F7-99500C10B28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600"/>
              <a:t>Monthly Income</a:t>
            </a:r>
          </a:p>
        </c:rich>
      </c:tx>
      <c:layout>
        <c:manualLayout>
          <c:xMode val="edge"/>
          <c:yMode val="edge"/>
          <c:x val="2.3729694606887588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8721687566832E-2"/>
          <c:y val="0.20597200349956254"/>
          <c:w val="0.40287467191601051"/>
          <c:h val="0.6714577865266842"/>
        </c:manualLayout>
      </c:layout>
      <c:pieChart>
        <c:varyColors val="1"/>
        <c:ser>
          <c:idx val="0"/>
          <c:order val="0"/>
          <c:tx>
            <c:v>Income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BD3-4D40-BF51-91BC7E42C0B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BD3-4D40-BF51-91BC7E42C0B0}"/>
              </c:ext>
            </c:extLst>
          </c:dPt>
          <c:dLbls>
            <c:dLbl>
              <c:idx val="0"/>
              <c:layout>
                <c:manualLayout>
                  <c:x val="0.37789543513538537"/>
                  <c:y val="-0.2208527267424905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1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6066077022609982"/>
                      <c:h val="0.262685143584613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BD3-4D40-BF51-91BC7E42C0B0}"/>
                </c:ext>
              </c:extLst>
            </c:dLbl>
            <c:dLbl>
              <c:idx val="1"/>
              <c:layout>
                <c:manualLayout>
                  <c:x val="0.39266005716896729"/>
                  <c:y val="0.2247329639350636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1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8994868871942573"/>
                      <c:h val="0.182429171271226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BD3-4D40-BF51-91BC7E42C0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('3. Rent &amp; Expenses'!$B$9:$C$9,'3. Rent &amp; Expenses'!$B$10:$C$10)</c:f>
              <c:strCache>
                <c:ptCount val="2"/>
                <c:pt idx="0">
                  <c:v>Total Rental Income ($):</c:v>
                </c:pt>
                <c:pt idx="1">
                  <c:v>Other Income ($):</c:v>
                </c:pt>
              </c:strCache>
            </c:strRef>
          </c:cat>
          <c:val>
            <c:numRef>
              <c:f>('3. Rent &amp; Expenses'!$D$9,'3. Rent &amp; Expenses'!$D$10)</c:f>
              <c:numCache>
                <c:formatCode>"$"#,##0.00</c:formatCode>
                <c:ptCount val="2"/>
                <c:pt idx="0">
                  <c:v>875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D3-4D40-BF51-91BC7E42C0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600"/>
              <a:t>50% Rule</a:t>
            </a:r>
          </a:p>
        </c:rich>
      </c:tx>
      <c:layout>
        <c:manualLayout>
          <c:xMode val="edge"/>
          <c:yMode val="edge"/>
          <c:x val="2.644685608630901E-2"/>
          <c:y val="7.812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45808455229645"/>
          <c:y val="0.21496148116620559"/>
          <c:w val="0.40287467191601051"/>
          <c:h val="0.671457786526684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Template!$M$240:$N$240</c:f>
              <c:strCache>
                <c:ptCount val="2"/>
                <c:pt idx="0">
                  <c:v>Monthly Expenses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Template!$H$271</c:f>
              <c:numCache>
                <c:formatCode>"$"#,##0.00</c:formatCode>
                <c:ptCount val="1"/>
                <c:pt idx="0">
                  <c:v>376.5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4-46D2-A5B7-B1BC907AF185}"/>
            </c:ext>
          </c:extLst>
        </c:ser>
        <c:ser>
          <c:idx val="1"/>
          <c:order val="1"/>
          <c:tx>
            <c:v>50% Rule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Template!$H$275</c:f>
              <c:numCache>
                <c:formatCode>"$"#,##0.00</c:formatCode>
                <c:ptCount val="1"/>
                <c:pt idx="0">
                  <c:v>437.5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04-46D2-A5B7-B1BC907AF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286765008"/>
        <c:axId val="1285633248"/>
      </c:barChart>
      <c:valAx>
        <c:axId val="12856332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765008"/>
        <c:crosses val="autoZero"/>
        <c:crossBetween val="between"/>
      </c:valAx>
      <c:catAx>
        <c:axId val="1286765008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5633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518187253771345"/>
          <c:y val="0.33813783411902049"/>
          <c:w val="0.20822855290139319"/>
          <c:h val="0.434901081209967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/>
                </a:solidFill>
              </a:rPr>
              <a:t>Income, Expenses and Cashflow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Income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1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 Forma'!$W$16:$AZ$16</c15:sqref>
                  </c15:fullRef>
                </c:ext>
              </c:extLst>
              <c:f>('Pro Forma'!$W$16,'Pro Forma'!$AA$16,'Pro Forma'!$AF$16,'Pro Forma'!$AK$16,'Pro Forma'!$AP$16,'Pro Forma'!$AU$16,'Pro Forma'!$AZ$16)</c:f>
              <c:numCache>
                <c:formatCode>"$"#,##0.00</c:formatCode>
                <c:ptCount val="7"/>
                <c:pt idx="0">
                  <c:v>10500</c:v>
                </c:pt>
                <c:pt idx="1">
                  <c:v>11365.537679999999</c:v>
                </c:pt>
                <c:pt idx="2">
                  <c:v>12548.471970534263</c:v>
                </c:pt>
                <c:pt idx="3">
                  <c:v>13854.527012160157</c:v>
                </c:pt>
                <c:pt idx="4">
                  <c:v>15296.51731154188</c:v>
                </c:pt>
                <c:pt idx="5">
                  <c:v>16888.591119489862</c:v>
                </c:pt>
                <c:pt idx="6">
                  <c:v>18646.369248122755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83-441B-8362-B58E07E0CEC5}"/>
            </c:ext>
          </c:extLst>
        </c:ser>
        <c:ser>
          <c:idx val="1"/>
          <c:order val="1"/>
          <c:tx>
            <c:v>Expenses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1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 Forma'!$W$17:$AZ$17</c15:sqref>
                  </c15:fullRef>
                </c:ext>
              </c:extLst>
              <c:f>('Pro Forma'!$W$17,'Pro Forma'!$AA$17,'Pro Forma'!$AF$17,'Pro Forma'!$AK$17,'Pro Forma'!$AP$17,'Pro Forma'!$AU$17,'Pro Forma'!$AZ$17)</c:f>
              <c:numCache>
                <c:formatCode>"$"#,##0.00</c:formatCode>
                <c:ptCount val="7"/>
                <c:pt idx="0">
                  <c:v>4518</c:v>
                </c:pt>
                <c:pt idx="1">
                  <c:v>4890.42849888</c:v>
                </c:pt>
                <c:pt idx="2">
                  <c:v>5399.4282250356</c:v>
                </c:pt>
                <c:pt idx="3">
                  <c:v>5961.4050515180561</c:v>
                </c:pt>
                <c:pt idx="4">
                  <c:v>6581.8728774805923</c:v>
                </c:pt>
                <c:pt idx="5">
                  <c:v>7266.9194931290667</c:v>
                </c:pt>
                <c:pt idx="6">
                  <c:v>8023.2663107636772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83-441B-8362-B58E07E0CEC5}"/>
            </c:ext>
          </c:extLst>
        </c:ser>
        <c:ser>
          <c:idx val="2"/>
          <c:order val="2"/>
          <c:tx>
            <c:v>Cash Flow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1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 Forma'!$W$19:$AZ$19</c15:sqref>
                  </c15:fullRef>
                </c:ext>
              </c:extLst>
              <c:f>('Pro Forma'!$W$19,'Pro Forma'!$AA$19,'Pro Forma'!$AF$19,'Pro Forma'!$AK$19,'Pro Forma'!$AP$19,'Pro Forma'!$AU$19,'Pro Forma'!$AZ$19)</c:f>
              <c:numCache>
                <c:formatCode>"$"#,##0.00</c:formatCode>
                <c:ptCount val="7"/>
                <c:pt idx="0">
                  <c:v>5982</c:v>
                </c:pt>
                <c:pt idx="1">
                  <c:v>6475.1091811199994</c:v>
                </c:pt>
                <c:pt idx="2">
                  <c:v>7149.0437454986632</c:v>
                </c:pt>
                <c:pt idx="3">
                  <c:v>7893.1219606421009</c:v>
                </c:pt>
                <c:pt idx="4">
                  <c:v>8714.644434061287</c:v>
                </c:pt>
                <c:pt idx="5">
                  <c:v>9621.6716263607959</c:v>
                </c:pt>
                <c:pt idx="6">
                  <c:v>10623.102937359079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83-441B-8362-B58E07E0C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8794864"/>
        <c:axId val="1281517168"/>
      </c:lineChart>
      <c:catAx>
        <c:axId val="157879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517168"/>
        <c:crossesAt val="0"/>
        <c:auto val="1"/>
        <c:lblAlgn val="ctr"/>
        <c:lblOffset val="100"/>
        <c:noMultiLvlLbl val="0"/>
      </c:catAx>
      <c:valAx>
        <c:axId val="128151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79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>
      <a:outerShdw blurRad="50800" dist="50800" dir="5400000" algn="ctr" rotWithShape="0">
        <a:schemeClr val="tx2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/>
                </a:solidFill>
              </a:rPr>
              <a:t>Loan Balance, Equity and Property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Loan Balance</c:v>
          </c:tx>
          <c:spPr>
            <a:solidFill>
              <a:schemeClr val="accent2">
                <a:alpha val="50000"/>
              </a:schemeClr>
            </a:solidFill>
            <a:ln>
              <a:noFill/>
            </a:ln>
            <a:effectLst/>
          </c:spPr>
          <c:cat>
            <c:strLit>
              <c:ptCount val="7"/>
              <c:pt idx="0">
                <c:v>1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 Forma'!$W$27:$AZ$27</c15:sqref>
                  </c15:fullRef>
                </c:ext>
              </c:extLst>
              <c:f>('Pro Forma'!$W$27,'Pro Forma'!$AA$27,'Pro Forma'!$AF$27,'Pro Forma'!$AK$27,'Pro Forma'!$AP$27,'Pro Forma'!$AU$27,'Pro Forma'!$AZ$27)</c:f>
              <c:numCache>
                <c:formatCode>"$"#,##0.00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CF-4FBE-92AD-44A18D8CBE6C}"/>
            </c:ext>
          </c:extLst>
        </c:ser>
        <c:ser>
          <c:idx val="1"/>
          <c:order val="1"/>
          <c:tx>
            <c:v>Equity</c:v>
          </c:tx>
          <c:spPr>
            <a:solidFill>
              <a:schemeClr val="accent1">
                <a:alpha val="50000"/>
              </a:schemeClr>
            </a:solidFill>
            <a:ln w="25400">
              <a:noFill/>
            </a:ln>
            <a:effectLst/>
          </c:spPr>
          <c:cat>
            <c:strLit>
              <c:ptCount val="7"/>
              <c:pt idx="0">
                <c:v>1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 Forma'!$W$26:$AZ$26</c15:sqref>
                  </c15:fullRef>
                </c:ext>
              </c:extLst>
              <c:f>('Pro Forma'!$W$26,'Pro Forma'!$AA$26,'Pro Forma'!$AF$26,'Pro Forma'!$AK$26,'Pro Forma'!$AP$26,'Pro Forma'!$AU$26,'Pro Forma'!$AZ$26)</c:f>
              <c:numCache>
                <c:formatCode>"$"#,##0.00</c:formatCode>
                <c:ptCount val="7"/>
                <c:pt idx="0">
                  <c:v>89760</c:v>
                </c:pt>
                <c:pt idx="1">
                  <c:v>97159.110681599996</c:v>
                </c:pt>
                <c:pt idx="2">
                  <c:v>107271.50895953862</c:v>
                </c:pt>
                <c:pt idx="3">
                  <c:v>118436.41377252337</c:v>
                </c:pt>
                <c:pt idx="4">
                  <c:v>130763.37084609517</c:v>
                </c:pt>
                <c:pt idx="5">
                  <c:v>144373.32751289621</c:v>
                </c:pt>
                <c:pt idx="6">
                  <c:v>159399.8194010951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CF-4FBE-92AD-44A18D8CBE6C}"/>
            </c:ext>
          </c:extLst>
        </c:ser>
        <c:ser>
          <c:idx val="2"/>
          <c:order val="2"/>
          <c:tx>
            <c:v>Property Value</c:v>
          </c:tx>
          <c:spPr>
            <a:solidFill>
              <a:schemeClr val="tx2">
                <a:alpha val="30000"/>
              </a:schemeClr>
            </a:solidFill>
            <a:ln w="25400">
              <a:noFill/>
            </a:ln>
            <a:effectLst>
              <a:outerShdw blurRad="50800" dist="50800" dir="5400000" algn="ctr" rotWithShape="0">
                <a:srgbClr val="000000">
                  <a:alpha val="29000"/>
                </a:srgbClr>
              </a:outerShdw>
            </a:effectLst>
          </c:spPr>
          <c:cat>
            <c:strLit>
              <c:ptCount val="7"/>
              <c:pt idx="0">
                <c:v>1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 Forma'!$W$28:$AZ$28</c15:sqref>
                  </c15:fullRef>
                </c:ext>
              </c:extLst>
              <c:f>('Pro Forma'!$W$28,'Pro Forma'!$AA$28,'Pro Forma'!$AF$28,'Pro Forma'!$AK$28,'Pro Forma'!$AP$28,'Pro Forma'!$AU$28,'Pro Forma'!$AZ$28)</c:f>
              <c:numCache>
                <c:formatCode>"$"#,##0.00</c:formatCode>
                <c:ptCount val="7"/>
                <c:pt idx="0">
                  <c:v>89760</c:v>
                </c:pt>
                <c:pt idx="1">
                  <c:v>97159.110681599996</c:v>
                </c:pt>
                <c:pt idx="2">
                  <c:v>107271.50895953862</c:v>
                </c:pt>
                <c:pt idx="3">
                  <c:v>118436.41377252337</c:v>
                </c:pt>
                <c:pt idx="4">
                  <c:v>130763.37084609517</c:v>
                </c:pt>
                <c:pt idx="5">
                  <c:v>144373.32751289621</c:v>
                </c:pt>
                <c:pt idx="6">
                  <c:v>159399.8194010951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CF-4FBE-92AD-44A18D8CB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083680"/>
        <c:axId val="1535796368"/>
      </c:areaChart>
      <c:catAx>
        <c:axId val="14400836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796368"/>
        <c:crosses val="autoZero"/>
        <c:auto val="1"/>
        <c:lblAlgn val="ctr"/>
        <c:lblOffset val="100"/>
        <c:tickMarkSkip val="5"/>
        <c:noMultiLvlLbl val="0"/>
      </c:catAx>
      <c:valAx>
        <c:axId val="153579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0083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>
      <a:outerShdw blurRad="50800" dist="50800" dir="5400000" algn="t" rotWithShape="0">
        <a:schemeClr val="tx2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john.d.steiner\Documents\ManTech\20\free\Justin\P2.jpg" TargetMode="External"/><Relationship Id="rId2" Type="http://schemas.openxmlformats.org/officeDocument/2006/relationships/image" Target="file:///C:\Users\john.d.steiner\Documents\ManTech\20\free\Justin\P1.png" TargetMode="External"/><Relationship Id="rId1" Type="http://schemas.openxmlformats.org/officeDocument/2006/relationships/image" Target="../media/image2.png"/><Relationship Id="rId4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john.d.steiner\Documents\ManTech\20\free\Justin\Apt%207.PNG" TargetMode="External"/><Relationship Id="rId3" Type="http://schemas.openxmlformats.org/officeDocument/2006/relationships/chart" Target="../charts/chart2.xml"/><Relationship Id="rId7" Type="http://schemas.openxmlformats.org/officeDocument/2006/relationships/image" Target="file:///C:\Users\john.d.steiner\Documents\ManTech\20\free\Justin\Front.PNG" TargetMode="Externa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11" Type="http://schemas.openxmlformats.org/officeDocument/2006/relationships/image" Target="../media/image5.emf"/><Relationship Id="rId5" Type="http://schemas.openxmlformats.org/officeDocument/2006/relationships/chart" Target="../charts/chart4.xml"/><Relationship Id="rId10" Type="http://schemas.openxmlformats.org/officeDocument/2006/relationships/image" Target="file:///C:\Users\john.d.steiner\Documents\ManTech\20\free\Justin\P2.jpg" TargetMode="External"/><Relationship Id="rId4" Type="http://schemas.openxmlformats.org/officeDocument/2006/relationships/chart" Target="../charts/chart3.xml"/><Relationship Id="rId9" Type="http://schemas.openxmlformats.org/officeDocument/2006/relationships/image" Target="file:///C:\Users\john.d.steiner\Documents\ManTech\20\free\Justin\P1.png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john.d.steiner\Documents\ManTech\20\free\Justin\P1.png" TargetMode="External"/><Relationship Id="rId3" Type="http://schemas.openxmlformats.org/officeDocument/2006/relationships/chart" Target="../charts/chart8.xml"/><Relationship Id="rId7" Type="http://schemas.openxmlformats.org/officeDocument/2006/relationships/image" Target="file:///C:\Users\john.d.steiner\Documents\ManTech\20\free\Justin\Apt%207.PNG" TargetMode="Externa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file:///C:\Users\john.d.steiner\Documents\ManTech\20\free\Justin\Front.PNG" TargetMode="External"/><Relationship Id="rId5" Type="http://schemas.openxmlformats.org/officeDocument/2006/relationships/chart" Target="../charts/chart10.xml"/><Relationship Id="rId4" Type="http://schemas.openxmlformats.org/officeDocument/2006/relationships/chart" Target="../charts/chart9.xml"/><Relationship Id="rId9" Type="http://schemas.openxmlformats.org/officeDocument/2006/relationships/image" Target="file:///C:\Users\john.d.steiner\Documents\ManTech\20\free\Justin\P2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1</xdr:col>
      <xdr:colOff>963365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8100"/>
          <a:ext cx="944315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244205</xdr:colOff>
      <xdr:row>19</xdr:row>
      <xdr:rowOff>87313</xdr:rowOff>
    </xdr:from>
    <xdr:to>
      <xdr:col>13</xdr:col>
      <xdr:colOff>373063</xdr:colOff>
      <xdr:row>29</xdr:row>
      <xdr:rowOff>79375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2393" y="3778251"/>
          <a:ext cx="1962420" cy="1897062"/>
        </a:xfrm>
        <a:prstGeom prst="rect">
          <a:avLst/>
        </a:prstGeom>
      </xdr:spPr>
    </xdr:pic>
    <xdr:clientData/>
  </xdr:twoCellAnchor>
  <xdr:twoCellAnchor editAs="oneCell">
    <xdr:from>
      <xdr:col>10</xdr:col>
      <xdr:colOff>230187</xdr:colOff>
      <xdr:row>7</xdr:row>
      <xdr:rowOff>63501</xdr:rowOff>
    </xdr:from>
    <xdr:to>
      <xdr:col>13</xdr:col>
      <xdr:colOff>359045</xdr:colOff>
      <xdr:row>17</xdr:row>
      <xdr:rowOff>55563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75" y="1452564"/>
          <a:ext cx="1962420" cy="189706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0</xdr:row>
      <xdr:rowOff>38100</xdr:rowOff>
    </xdr:from>
    <xdr:to>
      <xdr:col>2</xdr:col>
      <xdr:colOff>353765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8100"/>
          <a:ext cx="944315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3076" name="InsertPictur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1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523875</xdr:colOff>
      <xdr:row>11</xdr:row>
      <xdr:rowOff>119062</xdr:rowOff>
    </xdr:from>
    <xdr:to>
      <xdr:col>13</xdr:col>
      <xdr:colOff>246062</xdr:colOff>
      <xdr:row>13</xdr:row>
      <xdr:rowOff>71437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342063" y="2270125"/>
          <a:ext cx="1555749" cy="333375"/>
        </a:xfrm>
        <a:prstGeom prst="rect">
          <a:avLst/>
        </a:prstGeom>
        <a:solidFill>
          <a:schemeClr val="bg1">
            <a:lumMod val="95000"/>
            <a:alpha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accent2"/>
              </a:solidFill>
            </a:rPr>
            <a:t>Insert</a:t>
          </a:r>
          <a:r>
            <a:rPr lang="en-US" sz="1100" b="1" baseline="0">
              <a:solidFill>
                <a:schemeClr val="accent2"/>
              </a:solidFill>
            </a:rPr>
            <a:t> Picture Here</a:t>
          </a:r>
          <a:endParaRPr lang="en-US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10</xdr:col>
      <xdr:colOff>529955</xdr:colOff>
      <xdr:row>23</xdr:row>
      <xdr:rowOff>142876</xdr:rowOff>
    </xdr:from>
    <xdr:to>
      <xdr:col>13</xdr:col>
      <xdr:colOff>252142</xdr:colOff>
      <xdr:row>25</xdr:row>
      <xdr:rowOff>95251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6348143" y="4595814"/>
          <a:ext cx="1555749" cy="333375"/>
        </a:xfrm>
        <a:prstGeom prst="rect">
          <a:avLst/>
        </a:prstGeom>
        <a:solidFill>
          <a:schemeClr val="bg1">
            <a:lumMod val="95000"/>
            <a:alpha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accent2"/>
              </a:solidFill>
            </a:rPr>
            <a:t>Insert</a:t>
          </a:r>
          <a:r>
            <a:rPr lang="en-US" sz="1100" b="1" baseline="0">
              <a:solidFill>
                <a:schemeClr val="accent2"/>
              </a:solidFill>
            </a:rPr>
            <a:t> Picture Here</a:t>
          </a:r>
          <a:endParaRPr lang="en-US" sz="1100" b="1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6</xdr:col>
      <xdr:colOff>0</xdr:colOff>
      <xdr:row>14</xdr:row>
      <xdr:rowOff>0</xdr:rowOff>
    </xdr:from>
    <xdr:to>
      <xdr:col>7</xdr:col>
      <xdr:colOff>558800</xdr:colOff>
      <xdr:row>16</xdr:row>
      <xdr:rowOff>25400</xdr:rowOff>
    </xdr:to>
    <xdr:sp macro="" textlink="">
      <xdr:nvSpPr>
        <xdr:cNvPr id="2049" name="InsertPicture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14</xdr:col>
      <xdr:colOff>0</xdr:colOff>
      <xdr:row>18</xdr:row>
      <xdr:rowOff>0</xdr:rowOff>
    </xdr:to>
    <xdr:pic>
      <xdr:nvPicPr>
        <xdr:cNvPr id="7" name="Pictur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791200" y="1390650"/>
          <a:ext cx="2438400" cy="210502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19</xdr:row>
      <xdr:rowOff>0</xdr:rowOff>
    </xdr:from>
    <xdr:to>
      <xdr:col>14</xdr:col>
      <xdr:colOff>0</xdr:colOff>
      <xdr:row>30</xdr:row>
      <xdr:rowOff>0</xdr:rowOff>
    </xdr:to>
    <xdr:pic>
      <xdr:nvPicPr>
        <xdr:cNvPr id="9" name="Picture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1200" y="3695700"/>
          <a:ext cx="2438400" cy="210502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7</xdr:col>
      <xdr:colOff>558800</xdr:colOff>
      <xdr:row>16</xdr:row>
      <xdr:rowOff>25400</xdr:rowOff>
    </xdr:to>
    <xdr:pic>
      <xdr:nvPicPr>
        <xdr:cNvPr id="3" name="InsertPicture">
          <a:extLst>
            <a:ext uri="{FF2B5EF4-FFF2-40B4-BE49-F238E27FC236}">
              <a16:creationId xmlns:a16="http://schemas.microsoft.com/office/drawing/2014/main" id="{8818A344-0FA0-3342-9337-F8D069019F1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730500"/>
          <a:ext cx="1257300" cy="406400"/>
        </a:xfrm>
        <a:prstGeom prst="rect">
          <a:avLst/>
        </a:prstGeom>
        <a:solidFill>
          <a:srgbClr val="44A55C"/>
        </a:solidFill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2</xdr:col>
      <xdr:colOff>12453</xdr:colOff>
      <xdr:row>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8100"/>
          <a:ext cx="944315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2</xdr:col>
      <xdr:colOff>134690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8100"/>
          <a:ext cx="944315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2</xdr:col>
      <xdr:colOff>353765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8100"/>
          <a:ext cx="944315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1</xdr:col>
      <xdr:colOff>965746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63" y="38100"/>
          <a:ext cx="946696" cy="9144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54</xdr:row>
      <xdr:rowOff>0</xdr:rowOff>
    </xdr:from>
    <xdr:to>
      <xdr:col>13</xdr:col>
      <xdr:colOff>9525</xdr:colOff>
      <xdr:row>63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63</xdr:row>
      <xdr:rowOff>0</xdr:rowOff>
    </xdr:from>
    <xdr:to>
      <xdr:col>13</xdr:col>
      <xdr:colOff>9525</xdr:colOff>
      <xdr:row>72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72</xdr:row>
      <xdr:rowOff>0</xdr:rowOff>
    </xdr:from>
    <xdr:to>
      <xdr:col>13</xdr:col>
      <xdr:colOff>9525</xdr:colOff>
      <xdr:row>81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-1</xdr:colOff>
      <xdr:row>122</xdr:row>
      <xdr:rowOff>0</xdr:rowOff>
    </xdr:from>
    <xdr:to>
      <xdr:col>5</xdr:col>
      <xdr:colOff>869155</xdr:colOff>
      <xdr:row>138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47625</xdr:colOff>
      <xdr:row>122</xdr:row>
      <xdr:rowOff>0</xdr:rowOff>
    </xdr:from>
    <xdr:to>
      <xdr:col>12</xdr:col>
      <xdr:colOff>35719</xdr:colOff>
      <xdr:row>138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12700</xdr:colOff>
      <xdr:row>1</xdr:row>
      <xdr:rowOff>0</xdr:rowOff>
    </xdr:from>
    <xdr:to>
      <xdr:col>4</xdr:col>
      <xdr:colOff>1879600</xdr:colOff>
      <xdr:row>3</xdr:row>
      <xdr:rowOff>0</xdr:rowOff>
    </xdr:to>
    <xdr:sp macro="" textlink="">
      <xdr:nvSpPr>
        <xdr:cNvPr id="5124" name="ToggleButton1" hidden="1">
          <a:extLst>
            <a:ext uri="{63B3BB69-23CF-44E3-9099-C40C66FF867C}">
              <a14:compatExt xmlns:a14="http://schemas.microsoft.com/office/drawing/2010/main" spid="_x0000_s5124"/>
            </a:ext>
            <a:ext uri="{FF2B5EF4-FFF2-40B4-BE49-F238E27FC236}">
              <a16:creationId xmlns:a16="http://schemas.microsoft.com/office/drawing/2014/main" id="{00000000-0008-0000-0500-000004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1</xdr:row>
      <xdr:rowOff>0</xdr:rowOff>
    </xdr:from>
    <xdr:to>
      <xdr:col>4</xdr:col>
      <xdr:colOff>287867</xdr:colOff>
      <xdr:row>4</xdr:row>
      <xdr:rowOff>101600</xdr:rowOff>
    </xdr:to>
    <xdr:sp macro="" textlink="">
      <xdr:nvSpPr>
        <xdr:cNvPr id="6147" name="GenerateReports" hidden="1">
          <a:extLst>
            <a:ext uri="{63B3BB69-23CF-44E3-9099-C40C66FF867C}">
              <a14:compatExt xmlns:a14="http://schemas.microsoft.com/office/drawing/2010/main" spid="_x0000_s6147"/>
            </a:ext>
            <a:ext uri="{FF2B5EF4-FFF2-40B4-BE49-F238E27FC236}">
              <a16:creationId xmlns:a16="http://schemas.microsoft.com/office/drawing/2014/main" id="{00000000-0008-0000-0500-000003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219074</xdr:colOff>
      <xdr:row>15</xdr:row>
      <xdr:rowOff>190499</xdr:rowOff>
    </xdr:from>
    <xdr:to>
      <xdr:col>4</xdr:col>
      <xdr:colOff>123811</xdr:colOff>
      <xdr:row>30</xdr:row>
      <xdr:rowOff>12131</xdr:rowOff>
    </xdr:to>
    <xdr:pic>
      <xdr:nvPicPr>
        <xdr:cNvPr id="20" name="Picture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4" y="3581399"/>
          <a:ext cx="4627020" cy="2679132"/>
        </a:xfrm>
        <a:prstGeom prst="rect">
          <a:avLst/>
        </a:prstGeom>
      </xdr:spPr>
    </xdr:pic>
    <xdr:clientData/>
  </xdr:twoCellAnchor>
  <xdr:twoCellAnchor editAs="oneCell">
    <xdr:from>
      <xdr:col>6</xdr:col>
      <xdr:colOff>962024</xdr:colOff>
      <xdr:row>15</xdr:row>
      <xdr:rowOff>190499</xdr:rowOff>
    </xdr:from>
    <xdr:to>
      <xdr:col>9</xdr:col>
      <xdr:colOff>486540</xdr:colOff>
      <xdr:row>30</xdr:row>
      <xdr:rowOff>12131</xdr:rowOff>
    </xdr:to>
    <xdr:pic>
      <xdr:nvPicPr>
        <xdr:cNvPr id="21" name="Picture2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095999" y="3581399"/>
          <a:ext cx="4622508" cy="2679132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219074</xdr:colOff>
      <xdr:row>15</xdr:row>
      <xdr:rowOff>190499</xdr:rowOff>
    </xdr:from>
    <xdr:to>
      <xdr:col>4</xdr:col>
      <xdr:colOff>123811</xdr:colOff>
      <xdr:row>30</xdr:row>
      <xdr:rowOff>12131</xdr:rowOff>
    </xdr:to>
    <xdr:pic>
      <xdr:nvPicPr>
        <xdr:cNvPr id="12" name="Picture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19074" y="3581399"/>
          <a:ext cx="4627020" cy="2679132"/>
        </a:xfrm>
        <a:prstGeom prst="rect">
          <a:avLst/>
        </a:prstGeom>
      </xdr:spPr>
    </xdr:pic>
    <xdr:clientData/>
  </xdr:twoCellAnchor>
  <xdr:twoCellAnchor editAs="oneCell">
    <xdr:from>
      <xdr:col>6</xdr:col>
      <xdr:colOff>962024</xdr:colOff>
      <xdr:row>15</xdr:row>
      <xdr:rowOff>190499</xdr:rowOff>
    </xdr:from>
    <xdr:to>
      <xdr:col>9</xdr:col>
      <xdr:colOff>486540</xdr:colOff>
      <xdr:row>30</xdr:row>
      <xdr:rowOff>12131</xdr:rowOff>
    </xdr:to>
    <xdr:pic>
      <xdr:nvPicPr>
        <xdr:cNvPr id="13" name="Picture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6095999" y="3581399"/>
          <a:ext cx="4622508" cy="2679132"/>
        </a:xfrm>
        <a:prstGeom prst="rect">
          <a:avLst/>
        </a:prstGeom>
      </xdr:spPr>
    </xdr:pic>
    <xdr:clientData/>
  </xdr:twoCellAnchor>
  <xdr:twoCellAnchor editAs="oneCell">
    <xdr:from>
      <xdr:col>3</xdr:col>
      <xdr:colOff>139700</xdr:colOff>
      <xdr:row>1</xdr:row>
      <xdr:rowOff>0</xdr:rowOff>
    </xdr:from>
    <xdr:to>
      <xdr:col>4</xdr:col>
      <xdr:colOff>287867</xdr:colOff>
      <xdr:row>4</xdr:row>
      <xdr:rowOff>101600</xdr:rowOff>
    </xdr:to>
    <xdr:pic>
      <xdr:nvPicPr>
        <xdr:cNvPr id="8" name="GenerateReports">
          <a:extLst>
            <a:ext uri="{FF2B5EF4-FFF2-40B4-BE49-F238E27FC236}">
              <a16:creationId xmlns:a16="http://schemas.microsoft.com/office/drawing/2014/main" id="{8627A033-BD6B-D049-AB12-CC6364CDEE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1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2400" y="190500"/>
          <a:ext cx="2095500" cy="673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1</xdr:col>
      <xdr:colOff>960983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8100"/>
          <a:ext cx="941933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1</xdr:col>
      <xdr:colOff>960983</xdr:colOff>
      <xdr:row>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8100"/>
          <a:ext cx="944315" cy="914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1</xdr:col>
      <xdr:colOff>960983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8100"/>
          <a:ext cx="941933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251</xdr:row>
      <xdr:rowOff>0</xdr:rowOff>
    </xdr:from>
    <xdr:to>
      <xdr:col>17</xdr:col>
      <xdr:colOff>9525</xdr:colOff>
      <xdr:row>260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260</xdr:row>
      <xdr:rowOff>0</xdr:rowOff>
    </xdr:from>
    <xdr:to>
      <xdr:col>17</xdr:col>
      <xdr:colOff>9525</xdr:colOff>
      <xdr:row>269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269</xdr:row>
      <xdr:rowOff>0</xdr:rowOff>
    </xdr:from>
    <xdr:to>
      <xdr:col>17</xdr:col>
      <xdr:colOff>9525</xdr:colOff>
      <xdr:row>278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394</xdr:row>
      <xdr:rowOff>0</xdr:rowOff>
    </xdr:from>
    <xdr:to>
      <xdr:col>14</xdr:col>
      <xdr:colOff>1362075</xdr:colOff>
      <xdr:row>436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448</xdr:row>
      <xdr:rowOff>-1</xdr:rowOff>
    </xdr:from>
    <xdr:to>
      <xdr:col>14</xdr:col>
      <xdr:colOff>1362075</xdr:colOff>
      <xdr:row>496</xdr:row>
      <xdr:rowOff>-1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</xdr:col>
      <xdr:colOff>1123949</xdr:colOff>
      <xdr:row>157</xdr:row>
      <xdr:rowOff>0</xdr:rowOff>
    </xdr:from>
    <xdr:to>
      <xdr:col>9</xdr:col>
      <xdr:colOff>1621630</xdr:colOff>
      <xdr:row>192</xdr:row>
      <xdr:rowOff>71435</xdr:rowOff>
    </xdr:to>
    <xdr:pic>
      <xdr:nvPicPr>
        <xdr:cNvPr id="19" name="Picture3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609974" y="35518725"/>
          <a:ext cx="16566356" cy="8834435"/>
        </a:xfrm>
        <a:prstGeom prst="rect">
          <a:avLst/>
        </a:prstGeom>
        <a:effectLst>
          <a:innerShdw blurRad="114300">
            <a:schemeClr val="tx2">
              <a:lumMod val="100000"/>
            </a:schemeClr>
          </a:innerShdw>
        </a:effectLst>
      </xdr:spPr>
    </xdr:pic>
    <xdr:clientData/>
  </xdr:twoCellAnchor>
  <xdr:twoCellAnchor editAs="oneCell">
    <xdr:from>
      <xdr:col>12</xdr:col>
      <xdr:colOff>0</xdr:colOff>
      <xdr:row>157</xdr:row>
      <xdr:rowOff>0</xdr:rowOff>
    </xdr:from>
    <xdr:to>
      <xdr:col>20</xdr:col>
      <xdr:colOff>271463</xdr:colOff>
      <xdr:row>192</xdr:row>
      <xdr:rowOff>71435</xdr:rowOff>
    </xdr:to>
    <xdr:pic>
      <xdr:nvPicPr>
        <xdr:cNvPr id="20" name="Picture4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5393650" y="35518725"/>
          <a:ext cx="16502063" cy="8834435"/>
        </a:xfrm>
        <a:prstGeom prst="rect">
          <a:avLst/>
        </a:prstGeom>
        <a:effectLst>
          <a:innerShdw blurRad="114300">
            <a:schemeClr val="tx2">
              <a:lumMod val="100000"/>
            </a:schemeClr>
          </a:innerShdw>
        </a:effectLst>
      </xdr:spPr>
    </xdr:pic>
    <xdr:clientData/>
  </xdr:twoCellAnchor>
  <xdr:twoCellAnchor editAs="oneCell">
    <xdr:from>
      <xdr:col>3</xdr:col>
      <xdr:colOff>1123949</xdr:colOff>
      <xdr:row>157</xdr:row>
      <xdr:rowOff>0</xdr:rowOff>
    </xdr:from>
    <xdr:to>
      <xdr:col>9</xdr:col>
      <xdr:colOff>1621630</xdr:colOff>
      <xdr:row>192</xdr:row>
      <xdr:rowOff>71435</xdr:rowOff>
    </xdr:to>
    <xdr:pic>
      <xdr:nvPicPr>
        <xdr:cNvPr id="10" name="Picture3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609974" y="35518725"/>
          <a:ext cx="16566356" cy="883443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157</xdr:row>
      <xdr:rowOff>0</xdr:rowOff>
    </xdr:from>
    <xdr:to>
      <xdr:col>20</xdr:col>
      <xdr:colOff>271463</xdr:colOff>
      <xdr:row>192</xdr:row>
      <xdr:rowOff>71435</xdr:rowOff>
    </xdr:to>
    <xdr:pic>
      <xdr:nvPicPr>
        <xdr:cNvPr id="12" name="Picture4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5393650" y="35518725"/>
          <a:ext cx="16502063" cy="88344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john.steiner@steinerforesti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3"/>
  </sheetPr>
  <dimension ref="B7:C295"/>
  <sheetViews>
    <sheetView workbookViewId="0">
      <selection activeCell="B13" sqref="B13"/>
    </sheetView>
  </sheetViews>
  <sheetFormatPr baseColWidth="10" defaultColWidth="8.83203125" defaultRowHeight="15" x14ac:dyDescent="0.2"/>
  <cols>
    <col min="1" max="1" width="3.33203125" customWidth="1"/>
    <col min="2" max="2" width="80.5" bestFit="1" customWidth="1"/>
  </cols>
  <sheetData>
    <row r="7" spans="2:2" x14ac:dyDescent="0.2">
      <c r="B7" t="s">
        <v>0</v>
      </c>
    </row>
    <row r="10" spans="2:2" x14ac:dyDescent="0.2">
      <c r="B10" t="s">
        <v>1</v>
      </c>
    </row>
    <row r="11" spans="2:2" x14ac:dyDescent="0.2">
      <c r="B11" t="s">
        <v>2</v>
      </c>
    </row>
    <row r="12" spans="2:2" x14ac:dyDescent="0.2">
      <c r="B12" t="s">
        <v>3</v>
      </c>
    </row>
    <row r="13" spans="2:2" x14ac:dyDescent="0.2">
      <c r="B13" t="s">
        <v>4</v>
      </c>
    </row>
    <row r="14" spans="2:2" x14ac:dyDescent="0.2">
      <c r="B14" t="s">
        <v>5</v>
      </c>
    </row>
    <row r="15" spans="2:2" x14ac:dyDescent="0.2">
      <c r="B15" t="s">
        <v>6</v>
      </c>
    </row>
    <row r="16" spans="2:2" x14ac:dyDescent="0.2">
      <c r="B16" t="s">
        <v>7</v>
      </c>
    </row>
    <row r="18" spans="2:2" x14ac:dyDescent="0.2">
      <c r="B18" t="s">
        <v>8</v>
      </c>
    </row>
    <row r="20" spans="2:2" x14ac:dyDescent="0.2">
      <c r="B20" t="s">
        <v>9</v>
      </c>
    </row>
    <row r="295" spans="3:3" ht="62" x14ac:dyDescent="0.7">
      <c r="C295" s="15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44A55C"/>
  </sheetPr>
  <dimension ref="B7:N32"/>
  <sheetViews>
    <sheetView zoomScale="120" zoomScaleNormal="120" workbookViewId="0">
      <selection activeCell="D16" sqref="D16"/>
    </sheetView>
  </sheetViews>
  <sheetFormatPr baseColWidth="10" defaultColWidth="9.1640625" defaultRowHeight="15" x14ac:dyDescent="0.2"/>
  <cols>
    <col min="1" max="1" width="3.33203125" style="1" customWidth="1"/>
    <col min="2" max="2" width="9.1640625" style="1"/>
    <col min="3" max="3" width="10.5" style="1" customWidth="1"/>
    <col min="4" max="16384" width="9.1640625" style="1"/>
  </cols>
  <sheetData>
    <row r="7" spans="2:14" ht="20" thickBot="1" x14ac:dyDescent="0.3">
      <c r="B7" s="350" t="s">
        <v>10</v>
      </c>
      <c r="C7" s="350"/>
      <c r="D7" s="350"/>
      <c r="E7" s="350"/>
      <c r="F7" s="350"/>
      <c r="G7" s="350"/>
      <c r="H7" s="350"/>
      <c r="I7" s="350"/>
    </row>
    <row r="8" spans="2:14" x14ac:dyDescent="0.2">
      <c r="B8" s="2"/>
      <c r="C8" s="2"/>
      <c r="D8" s="2"/>
      <c r="E8" s="2"/>
      <c r="F8" s="2"/>
      <c r="G8" s="2"/>
      <c r="H8" s="2"/>
      <c r="I8" s="2"/>
      <c r="K8" s="356"/>
      <c r="L8" s="357"/>
      <c r="M8" s="357"/>
      <c r="N8" s="358"/>
    </row>
    <row r="9" spans="2:14" x14ac:dyDescent="0.2">
      <c r="B9" s="351" t="s">
        <v>11</v>
      </c>
      <c r="C9" s="352"/>
      <c r="D9" s="353" t="s">
        <v>159</v>
      </c>
      <c r="E9" s="354"/>
      <c r="F9" s="354"/>
      <c r="G9" s="354"/>
      <c r="H9" s="354"/>
      <c r="I9" s="355"/>
      <c r="K9" s="359"/>
      <c r="L9" s="360"/>
      <c r="M9" s="360"/>
      <c r="N9" s="361"/>
    </row>
    <row r="10" spans="2:14" x14ac:dyDescent="0.2">
      <c r="B10" s="2"/>
      <c r="C10" s="2"/>
      <c r="D10" s="2"/>
      <c r="E10" s="2"/>
      <c r="F10" s="2"/>
      <c r="G10" s="2"/>
      <c r="H10" s="2"/>
      <c r="I10" s="2"/>
      <c r="K10" s="359"/>
      <c r="L10" s="360"/>
      <c r="M10" s="360"/>
      <c r="N10" s="361"/>
    </row>
    <row r="11" spans="2:14" x14ac:dyDescent="0.2">
      <c r="B11" s="351" t="s">
        <v>12</v>
      </c>
      <c r="C11" s="352"/>
      <c r="D11" s="354" t="s">
        <v>138</v>
      </c>
      <c r="E11" s="354"/>
      <c r="F11" s="354"/>
      <c r="G11" s="354"/>
      <c r="H11" s="354"/>
      <c r="I11" s="355"/>
      <c r="K11" s="359"/>
      <c r="L11" s="360"/>
      <c r="M11" s="360"/>
      <c r="N11" s="361"/>
    </row>
    <row r="12" spans="2:14" x14ac:dyDescent="0.2">
      <c r="B12" s="2"/>
      <c r="C12" s="2"/>
      <c r="D12" s="2"/>
      <c r="E12" s="2"/>
      <c r="F12" s="2"/>
      <c r="G12" s="2"/>
      <c r="H12" s="2"/>
      <c r="I12" s="2"/>
      <c r="K12" s="359"/>
      <c r="L12" s="360"/>
      <c r="M12" s="360"/>
      <c r="N12" s="361"/>
    </row>
    <row r="13" spans="2:14" x14ac:dyDescent="0.2">
      <c r="B13" s="315" t="s">
        <v>13</v>
      </c>
      <c r="C13" s="316" t="s">
        <v>136</v>
      </c>
      <c r="D13" s="2"/>
      <c r="E13" s="315" t="s">
        <v>14</v>
      </c>
      <c r="F13" s="316" t="s">
        <v>137</v>
      </c>
      <c r="G13" s="2"/>
      <c r="H13" s="315" t="s">
        <v>54</v>
      </c>
      <c r="I13" s="316">
        <v>93458</v>
      </c>
      <c r="K13" s="359"/>
      <c r="L13" s="360"/>
      <c r="M13" s="360"/>
      <c r="N13" s="361"/>
    </row>
    <row r="14" spans="2:14" x14ac:dyDescent="0.2">
      <c r="B14" s="2"/>
      <c r="C14" s="2"/>
      <c r="D14" s="2"/>
      <c r="E14" s="2"/>
      <c r="F14" s="2"/>
      <c r="G14" s="2"/>
      <c r="H14" s="2"/>
      <c r="I14" s="2"/>
      <c r="K14" s="359"/>
      <c r="L14" s="360"/>
      <c r="M14" s="360"/>
      <c r="N14" s="361"/>
    </row>
    <row r="15" spans="2:14" x14ac:dyDescent="0.2">
      <c r="B15" s="351" t="s">
        <v>15</v>
      </c>
      <c r="C15" s="352"/>
      <c r="D15" s="365">
        <v>624</v>
      </c>
      <c r="E15" s="366"/>
      <c r="F15" s="2"/>
      <c r="G15" s="2"/>
      <c r="H15" s="2"/>
      <c r="I15" s="2"/>
      <c r="K15" s="359"/>
      <c r="L15" s="360"/>
      <c r="M15" s="360"/>
      <c r="N15" s="361"/>
    </row>
    <row r="16" spans="2:14" x14ac:dyDescent="0.2">
      <c r="B16" s="2"/>
      <c r="C16" s="2"/>
      <c r="D16" s="2"/>
      <c r="E16" s="2"/>
      <c r="F16" s="2"/>
      <c r="G16" s="2"/>
      <c r="H16" s="2"/>
      <c r="I16" s="2"/>
      <c r="K16" s="359"/>
      <c r="L16" s="360"/>
      <c r="M16" s="360"/>
      <c r="N16" s="361"/>
    </row>
    <row r="17" spans="2:14" x14ac:dyDescent="0.2">
      <c r="B17" s="351" t="s">
        <v>16</v>
      </c>
      <c r="C17" s="377"/>
      <c r="D17" s="367"/>
      <c r="E17" s="367"/>
      <c r="F17" s="2"/>
      <c r="G17" s="2"/>
      <c r="H17" s="2"/>
      <c r="I17" s="2"/>
      <c r="K17" s="359"/>
      <c r="L17" s="360"/>
      <c r="M17" s="360"/>
      <c r="N17" s="361"/>
    </row>
    <row r="18" spans="2:14" ht="15.75" customHeight="1" thickBot="1" x14ac:dyDescent="0.25">
      <c r="B18" s="368" t="s">
        <v>140</v>
      </c>
      <c r="C18" s="369"/>
      <c r="D18" s="369"/>
      <c r="E18" s="369"/>
      <c r="F18" s="369"/>
      <c r="G18" s="369"/>
      <c r="H18" s="370"/>
      <c r="K18" s="362"/>
      <c r="L18" s="363"/>
      <c r="M18" s="363"/>
      <c r="N18" s="364"/>
    </row>
    <row r="19" spans="2:14" ht="16" thickBot="1" x14ac:dyDescent="0.25">
      <c r="B19" s="371"/>
      <c r="C19" s="372"/>
      <c r="D19" s="372"/>
      <c r="E19" s="372"/>
      <c r="F19" s="372"/>
      <c r="G19" s="372"/>
      <c r="H19" s="373"/>
      <c r="K19" s="3"/>
      <c r="L19" s="3"/>
      <c r="M19" s="3"/>
      <c r="N19" s="3"/>
    </row>
    <row r="20" spans="2:14" x14ac:dyDescent="0.2">
      <c r="B20" s="371"/>
      <c r="C20" s="372"/>
      <c r="D20" s="372"/>
      <c r="E20" s="372"/>
      <c r="F20" s="372"/>
      <c r="G20" s="372"/>
      <c r="H20" s="373"/>
      <c r="K20" s="356"/>
      <c r="L20" s="357"/>
      <c r="M20" s="357"/>
      <c r="N20" s="358"/>
    </row>
    <row r="21" spans="2:14" x14ac:dyDescent="0.2">
      <c r="B21" s="371"/>
      <c r="C21" s="372"/>
      <c r="D21" s="372"/>
      <c r="E21" s="372"/>
      <c r="F21" s="372"/>
      <c r="G21" s="372"/>
      <c r="H21" s="373"/>
      <c r="K21" s="359"/>
      <c r="L21" s="360"/>
      <c r="M21" s="360"/>
      <c r="N21" s="361"/>
    </row>
    <row r="22" spans="2:14" x14ac:dyDescent="0.2">
      <c r="B22" s="371"/>
      <c r="C22" s="372"/>
      <c r="D22" s="372"/>
      <c r="E22" s="372"/>
      <c r="F22" s="372"/>
      <c r="G22" s="372"/>
      <c r="H22" s="373"/>
      <c r="K22" s="359"/>
      <c r="L22" s="360"/>
      <c r="M22" s="360"/>
      <c r="N22" s="361"/>
    </row>
    <row r="23" spans="2:14" x14ac:dyDescent="0.2">
      <c r="B23" s="371"/>
      <c r="C23" s="372"/>
      <c r="D23" s="372"/>
      <c r="E23" s="372"/>
      <c r="F23" s="372"/>
      <c r="G23" s="372"/>
      <c r="H23" s="373"/>
      <c r="K23" s="359"/>
      <c r="L23" s="360"/>
      <c r="M23" s="360"/>
      <c r="N23" s="361"/>
    </row>
    <row r="24" spans="2:14" x14ac:dyDescent="0.2">
      <c r="B24" s="371"/>
      <c r="C24" s="372"/>
      <c r="D24" s="372"/>
      <c r="E24" s="372"/>
      <c r="F24" s="372"/>
      <c r="G24" s="372"/>
      <c r="H24" s="373"/>
      <c r="K24" s="359"/>
      <c r="L24" s="360"/>
      <c r="M24" s="360"/>
      <c r="N24" s="361"/>
    </row>
    <row r="25" spans="2:14" x14ac:dyDescent="0.2">
      <c r="B25" s="371"/>
      <c r="C25" s="372"/>
      <c r="D25" s="372"/>
      <c r="E25" s="372"/>
      <c r="F25" s="372"/>
      <c r="G25" s="372"/>
      <c r="H25" s="373"/>
      <c r="K25" s="359"/>
      <c r="L25" s="360"/>
      <c r="M25" s="360"/>
      <c r="N25" s="361"/>
    </row>
    <row r="26" spans="2:14" x14ac:dyDescent="0.2">
      <c r="B26" s="371"/>
      <c r="C26" s="372"/>
      <c r="D26" s="372"/>
      <c r="E26" s="372"/>
      <c r="F26" s="372"/>
      <c r="G26" s="372"/>
      <c r="H26" s="373"/>
      <c r="K26" s="359"/>
      <c r="L26" s="360"/>
      <c r="M26" s="360"/>
      <c r="N26" s="361"/>
    </row>
    <row r="27" spans="2:14" x14ac:dyDescent="0.2">
      <c r="B27" s="371"/>
      <c r="C27" s="372"/>
      <c r="D27" s="372"/>
      <c r="E27" s="372"/>
      <c r="F27" s="372"/>
      <c r="G27" s="372"/>
      <c r="H27" s="373"/>
      <c r="K27" s="359"/>
      <c r="L27" s="360"/>
      <c r="M27" s="360"/>
      <c r="N27" s="361"/>
    </row>
    <row r="28" spans="2:14" x14ac:dyDescent="0.2">
      <c r="B28" s="371"/>
      <c r="C28" s="372"/>
      <c r="D28" s="372"/>
      <c r="E28" s="372"/>
      <c r="F28" s="372"/>
      <c r="G28" s="372"/>
      <c r="H28" s="373"/>
      <c r="K28" s="359"/>
      <c r="L28" s="360"/>
      <c r="M28" s="360"/>
      <c r="N28" s="361"/>
    </row>
    <row r="29" spans="2:14" x14ac:dyDescent="0.2">
      <c r="B29" s="371"/>
      <c r="C29" s="372"/>
      <c r="D29" s="372"/>
      <c r="E29" s="372"/>
      <c r="F29" s="372"/>
      <c r="G29" s="372"/>
      <c r="H29" s="373"/>
      <c r="K29" s="359"/>
      <c r="L29" s="360"/>
      <c r="M29" s="360"/>
      <c r="N29" s="361"/>
    </row>
    <row r="30" spans="2:14" ht="16" thickBot="1" x14ac:dyDescent="0.25">
      <c r="B30" s="374"/>
      <c r="C30" s="375"/>
      <c r="D30" s="375"/>
      <c r="E30" s="375"/>
      <c r="F30" s="375"/>
      <c r="G30" s="375"/>
      <c r="H30" s="376"/>
      <c r="K30" s="362"/>
      <c r="L30" s="363"/>
      <c r="M30" s="363"/>
      <c r="N30" s="364"/>
    </row>
    <row r="31" spans="2:14" x14ac:dyDescent="0.2">
      <c r="K31" s="3"/>
      <c r="L31" s="3"/>
      <c r="M31" s="3"/>
      <c r="N31" s="3"/>
    </row>
    <row r="32" spans="2:14" x14ac:dyDescent="0.2">
      <c r="K32" s="3"/>
      <c r="L32" s="3"/>
      <c r="M32" s="3"/>
      <c r="N32" s="3"/>
    </row>
  </sheetData>
  <mergeCells count="12">
    <mergeCell ref="K8:N18"/>
    <mergeCell ref="K20:N30"/>
    <mergeCell ref="D15:E15"/>
    <mergeCell ref="D17:E17"/>
    <mergeCell ref="B18:H30"/>
    <mergeCell ref="B15:C15"/>
    <mergeCell ref="B17:C17"/>
    <mergeCell ref="B7:I7"/>
    <mergeCell ref="B9:C9"/>
    <mergeCell ref="B11:C11"/>
    <mergeCell ref="D9:I9"/>
    <mergeCell ref="D11:I11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44A55C"/>
  </sheetPr>
  <dimension ref="A1:U28"/>
  <sheetViews>
    <sheetView topLeftCell="A2" zoomScale="120" zoomScaleNormal="120" workbookViewId="0">
      <selection activeCell="D17" sqref="D17"/>
    </sheetView>
  </sheetViews>
  <sheetFormatPr baseColWidth="10" defaultColWidth="9.1640625" defaultRowHeight="15" x14ac:dyDescent="0.2"/>
  <cols>
    <col min="1" max="1" width="3.33203125" style="2" customWidth="1"/>
    <col min="2" max="2" width="14.33203125" style="2" customWidth="1"/>
    <col min="3" max="3" width="9.1640625" style="2"/>
    <col min="4" max="4" width="13.5" style="2" bestFit="1" customWidth="1"/>
    <col min="5" max="5" width="10.5" style="2" bestFit="1" customWidth="1"/>
    <col min="6" max="6" width="9.1640625" style="2"/>
    <col min="7" max="7" width="11.33203125" style="2" customWidth="1"/>
    <col min="8" max="8" width="13.5" style="2" bestFit="1" customWidth="1"/>
    <col min="9" max="9" width="9.1640625" style="2"/>
    <col min="10" max="10" width="12.6640625" style="2" bestFit="1" customWidth="1"/>
    <col min="11" max="12" width="9.1640625" style="2"/>
    <col min="13" max="19" width="9.1640625" style="1"/>
    <col min="20" max="20" width="9.1640625" style="1" customWidth="1"/>
    <col min="21" max="21" width="9.1640625" style="1" hidden="1" customWidth="1"/>
    <col min="22" max="16384" width="9.1640625" style="1"/>
  </cols>
  <sheetData>
    <row r="1" spans="2:21" x14ac:dyDescent="0.2">
      <c r="U1" s="1" t="s">
        <v>56</v>
      </c>
    </row>
    <row r="2" spans="2:21" x14ac:dyDescent="0.2">
      <c r="U2" s="1" t="s">
        <v>57</v>
      </c>
    </row>
    <row r="7" spans="2:21" ht="19" x14ac:dyDescent="0.25">
      <c r="B7" s="350" t="s">
        <v>17</v>
      </c>
      <c r="C7" s="350"/>
      <c r="D7" s="350"/>
      <c r="E7" s="350"/>
      <c r="F7" s="350"/>
      <c r="G7" s="350"/>
      <c r="H7" s="350"/>
      <c r="I7" s="350"/>
      <c r="J7" s="350"/>
      <c r="K7" s="350"/>
    </row>
    <row r="9" spans="2:21" x14ac:dyDescent="0.2">
      <c r="B9" s="351" t="s">
        <v>18</v>
      </c>
      <c r="C9" s="352"/>
      <c r="D9" s="319">
        <v>90000</v>
      </c>
      <c r="F9" s="351" t="s">
        <v>20</v>
      </c>
      <c r="G9" s="352"/>
      <c r="H9" s="319">
        <v>85000</v>
      </c>
      <c r="J9" s="315" t="s">
        <v>19</v>
      </c>
      <c r="K9" s="317">
        <f>H9/D9-1</f>
        <v>-5.555555555555558E-2</v>
      </c>
    </row>
    <row r="11" spans="2:21" x14ac:dyDescent="0.2">
      <c r="B11" s="351" t="s">
        <v>28</v>
      </c>
      <c r="C11" s="352"/>
      <c r="D11" s="319">
        <v>0</v>
      </c>
      <c r="F11" s="351" t="s">
        <v>27</v>
      </c>
      <c r="G11" s="352"/>
      <c r="H11" s="319">
        <v>88000</v>
      </c>
    </row>
    <row r="13" spans="2:21" x14ac:dyDescent="0.2">
      <c r="B13" s="351" t="s">
        <v>29</v>
      </c>
      <c r="C13" s="352"/>
      <c r="D13" s="319">
        <v>2500</v>
      </c>
    </row>
    <row r="15" spans="2:21" x14ac:dyDescent="0.2">
      <c r="B15" s="378" t="s">
        <v>55</v>
      </c>
      <c r="C15" s="378"/>
      <c r="D15" s="378"/>
      <c r="E15" s="378"/>
      <c r="F15" s="378"/>
      <c r="G15" s="378"/>
      <c r="H15" s="378"/>
      <c r="I15" s="378"/>
      <c r="J15" s="378"/>
      <c r="K15" s="378"/>
    </row>
    <row r="17" spans="2:11" x14ac:dyDescent="0.2">
      <c r="B17" s="351" t="s">
        <v>22</v>
      </c>
      <c r="C17" s="352"/>
      <c r="D17" s="320">
        <v>1</v>
      </c>
      <c r="F17" s="351" t="s">
        <v>21</v>
      </c>
      <c r="G17" s="352"/>
      <c r="H17" s="318">
        <f>D17*H9</f>
        <v>85000</v>
      </c>
    </row>
    <row r="19" spans="2:11" x14ac:dyDescent="0.2">
      <c r="B19" s="351" t="s">
        <v>24</v>
      </c>
      <c r="C19" s="352"/>
      <c r="D19" s="317">
        <f>100%-D17</f>
        <v>0</v>
      </c>
      <c r="F19" s="351" t="s">
        <v>23</v>
      </c>
      <c r="G19" s="352"/>
      <c r="H19" s="318">
        <f>D19*H9</f>
        <v>0</v>
      </c>
    </row>
    <row r="21" spans="2:11" x14ac:dyDescent="0.2">
      <c r="B21" s="351" t="s">
        <v>26</v>
      </c>
      <c r="C21" s="352"/>
      <c r="D21" s="320">
        <v>0.08</v>
      </c>
      <c r="F21" s="351" t="s">
        <v>107</v>
      </c>
      <c r="G21" s="352"/>
      <c r="H21" s="318">
        <f>IF(K26="no",SUM(D26,H19,E25),SUM(H19))</f>
        <v>0</v>
      </c>
    </row>
    <row r="23" spans="2:11" x14ac:dyDescent="0.2">
      <c r="B23" s="351" t="s">
        <v>25</v>
      </c>
      <c r="C23" s="352"/>
      <c r="D23" s="321">
        <v>15</v>
      </c>
    </row>
    <row r="25" spans="2:11" x14ac:dyDescent="0.2">
      <c r="B25" s="351" t="s">
        <v>30</v>
      </c>
      <c r="C25" s="352"/>
      <c r="D25" s="322">
        <v>0</v>
      </c>
      <c r="E25" s="30">
        <f>D25/100*H19</f>
        <v>0</v>
      </c>
    </row>
    <row r="26" spans="2:11" x14ac:dyDescent="0.2">
      <c r="B26" s="351" t="s">
        <v>97</v>
      </c>
      <c r="C26" s="352"/>
      <c r="D26" s="319">
        <v>0</v>
      </c>
      <c r="F26" s="351" t="s">
        <v>31</v>
      </c>
      <c r="G26" s="352"/>
      <c r="H26" s="352"/>
      <c r="I26" s="352"/>
      <c r="J26" s="352"/>
      <c r="K26" s="316" t="s">
        <v>57</v>
      </c>
    </row>
    <row r="27" spans="2:11" x14ac:dyDescent="0.2">
      <c r="B27" s="351" t="s">
        <v>32</v>
      </c>
      <c r="C27" s="352"/>
      <c r="D27" s="316" t="s">
        <v>57</v>
      </c>
    </row>
    <row r="28" spans="2:11" x14ac:dyDescent="0.2">
      <c r="B28" s="351" t="s">
        <v>33</v>
      </c>
      <c r="C28" s="352"/>
      <c r="D28" s="320">
        <v>6.5000000000000002E-2</v>
      </c>
    </row>
  </sheetData>
  <mergeCells count="19">
    <mergeCell ref="B7:K7"/>
    <mergeCell ref="B15:K15"/>
    <mergeCell ref="F26:J26"/>
    <mergeCell ref="B28:C28"/>
    <mergeCell ref="B27:C27"/>
    <mergeCell ref="B26:C26"/>
    <mergeCell ref="B25:C25"/>
    <mergeCell ref="F19:G19"/>
    <mergeCell ref="F17:G17"/>
    <mergeCell ref="F11:G11"/>
    <mergeCell ref="F9:G9"/>
    <mergeCell ref="B23:C23"/>
    <mergeCell ref="B21:C21"/>
    <mergeCell ref="B19:C19"/>
    <mergeCell ref="F21:G21"/>
    <mergeCell ref="B17:C17"/>
    <mergeCell ref="B13:C13"/>
    <mergeCell ref="B11:C11"/>
    <mergeCell ref="B9:C9"/>
  </mergeCells>
  <dataValidations count="1">
    <dataValidation type="list" allowBlank="1" showInputMessage="1" showErrorMessage="1" sqref="D27 K26" xr:uid="{00000000-0002-0000-0200-000000000000}">
      <formula1>$U$1:$U$2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44A55C"/>
  </sheetPr>
  <dimension ref="B7:AB30"/>
  <sheetViews>
    <sheetView topLeftCell="A7" zoomScale="120" zoomScaleNormal="120" workbookViewId="0">
      <selection activeCell="D10" sqref="D10"/>
    </sheetView>
  </sheetViews>
  <sheetFormatPr baseColWidth="10" defaultColWidth="9.1640625" defaultRowHeight="15" x14ac:dyDescent="0.2"/>
  <cols>
    <col min="1" max="1" width="3.33203125" style="5" customWidth="1"/>
    <col min="2" max="2" width="12.5" style="5" customWidth="1"/>
    <col min="3" max="3" width="9.83203125" style="5" customWidth="1"/>
    <col min="4" max="4" width="15.1640625" style="5" customWidth="1"/>
    <col min="5" max="6" width="9.1640625" style="5"/>
    <col min="7" max="7" width="9.6640625" style="5" bestFit="1" customWidth="1"/>
    <col min="8" max="17" width="9.1640625" style="5"/>
    <col min="18" max="18" width="12.83203125" style="5" bestFit="1" customWidth="1"/>
    <col min="19" max="19" width="11.5" style="5" bestFit="1" customWidth="1"/>
    <col min="20" max="26" width="9.1640625" style="5"/>
    <col min="27" max="27" width="26" style="5" bestFit="1" customWidth="1"/>
    <col min="28" max="28" width="12.83203125" style="5" bestFit="1" customWidth="1"/>
    <col min="29" max="16384" width="9.1640625" style="5"/>
  </cols>
  <sheetData>
    <row r="7" spans="2:28" ht="19" x14ac:dyDescent="0.2">
      <c r="B7" s="379" t="s">
        <v>34</v>
      </c>
      <c r="C7" s="379"/>
      <c r="D7" s="379"/>
      <c r="E7" s="379"/>
      <c r="F7" s="379"/>
      <c r="G7" s="379"/>
      <c r="H7" s="379"/>
      <c r="I7" s="379"/>
      <c r="J7" s="379"/>
      <c r="K7" s="379"/>
      <c r="L7" s="379"/>
    </row>
    <row r="9" spans="2:28" x14ac:dyDescent="0.2">
      <c r="B9" s="387" t="s">
        <v>60</v>
      </c>
      <c r="C9" s="388"/>
      <c r="D9" s="329">
        <v>875</v>
      </c>
    </row>
    <row r="10" spans="2:28" ht="16" thickBot="1" x14ac:dyDescent="0.25">
      <c r="B10" s="383" t="s">
        <v>36</v>
      </c>
      <c r="C10" s="384"/>
      <c r="D10" s="330">
        <v>0</v>
      </c>
    </row>
    <row r="11" spans="2:28" ht="16" thickTop="1" x14ac:dyDescent="0.2">
      <c r="B11" s="385" t="s">
        <v>35</v>
      </c>
      <c r="C11" s="386"/>
      <c r="D11" s="326">
        <f>SUM(D9:D10)</f>
        <v>875</v>
      </c>
    </row>
    <row r="12" spans="2:28" x14ac:dyDescent="0.2">
      <c r="AA12" s="118" t="str">
        <f>B15</f>
        <v>Electric ($):</v>
      </c>
      <c r="AB12" s="119">
        <f>C15</f>
        <v>0</v>
      </c>
    </row>
    <row r="13" spans="2:28" x14ac:dyDescent="0.2">
      <c r="B13" s="382" t="s">
        <v>37</v>
      </c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AA13" s="118" t="str">
        <f>B17</f>
        <v>Garbage ($):</v>
      </c>
      <c r="AB13" s="119">
        <f>C17</f>
        <v>50</v>
      </c>
    </row>
    <row r="14" spans="2:28" x14ac:dyDescent="0.2">
      <c r="AA14" s="118" t="str">
        <f>B19</f>
        <v>Taxes ($):</v>
      </c>
      <c r="AB14" s="119">
        <f>C19</f>
        <v>52</v>
      </c>
    </row>
    <row r="15" spans="2:28" x14ac:dyDescent="0.2">
      <c r="B15" s="327" t="s">
        <v>38</v>
      </c>
      <c r="C15" s="331">
        <v>0</v>
      </c>
      <c r="E15" s="380" t="s">
        <v>39</v>
      </c>
      <c r="F15" s="381"/>
      <c r="G15" s="331">
        <v>0</v>
      </c>
      <c r="I15" s="380" t="s">
        <v>61</v>
      </c>
      <c r="J15" s="381"/>
      <c r="K15" s="389">
        <v>0</v>
      </c>
      <c r="L15" s="390"/>
      <c r="AA15" s="118" t="str">
        <f>B23</f>
        <v>Vacancy (%):</v>
      </c>
      <c r="AB15" s="119">
        <f>D23</f>
        <v>35</v>
      </c>
    </row>
    <row r="16" spans="2:28" x14ac:dyDescent="0.2">
      <c r="AA16" s="118" t="str">
        <f>B25</f>
        <v>Cap. Ex. (%):</v>
      </c>
      <c r="AB16" s="119">
        <f>D25</f>
        <v>43.75</v>
      </c>
    </row>
    <row r="17" spans="2:28" x14ac:dyDescent="0.2">
      <c r="B17" s="327" t="s">
        <v>40</v>
      </c>
      <c r="C17" s="331">
        <v>50</v>
      </c>
      <c r="E17" s="380" t="s">
        <v>41</v>
      </c>
      <c r="F17" s="381"/>
      <c r="G17" s="331">
        <v>0</v>
      </c>
      <c r="I17" s="380" t="s">
        <v>42</v>
      </c>
      <c r="J17" s="381"/>
      <c r="K17" s="389">
        <v>32</v>
      </c>
      <c r="L17" s="390"/>
      <c r="AA17" s="118" t="str">
        <f>E15</f>
        <v>Water &amp; Sewer ($):</v>
      </c>
      <c r="AB17" s="119">
        <f>G15</f>
        <v>0</v>
      </c>
    </row>
    <row r="18" spans="2:28" x14ac:dyDescent="0.2">
      <c r="AA18" s="118" t="str">
        <f>E17</f>
        <v>HOA ($):</v>
      </c>
      <c r="AB18" s="119">
        <f>G17</f>
        <v>0</v>
      </c>
    </row>
    <row r="19" spans="2:28" x14ac:dyDescent="0.2">
      <c r="B19" s="327" t="s">
        <v>43</v>
      </c>
      <c r="C19" s="328">
        <f>'1. Property Information'!D15/12</f>
        <v>52</v>
      </c>
      <c r="E19" s="380" t="s">
        <v>44</v>
      </c>
      <c r="F19" s="381"/>
      <c r="G19" s="331">
        <v>50</v>
      </c>
      <c r="AA19" s="118" t="str">
        <f>E19</f>
        <v>Other Expenses ($):</v>
      </c>
      <c r="AB19" s="119">
        <f>G19</f>
        <v>50</v>
      </c>
    </row>
    <row r="20" spans="2:28" x14ac:dyDescent="0.2">
      <c r="AA20" s="118" t="str">
        <f>F23</f>
        <v>Repairs &amp; Maintenance (%):</v>
      </c>
      <c r="AB20" s="119">
        <f>J23</f>
        <v>43.75</v>
      </c>
    </row>
    <row r="21" spans="2:28" x14ac:dyDescent="0.2">
      <c r="B21" s="382" t="s">
        <v>45</v>
      </c>
      <c r="C21" s="382"/>
      <c r="D21" s="382"/>
      <c r="E21" s="382"/>
      <c r="F21" s="382"/>
      <c r="G21" s="382"/>
      <c r="H21" s="382"/>
      <c r="I21" s="382"/>
      <c r="J21" s="382"/>
      <c r="K21" s="382"/>
      <c r="L21" s="382"/>
      <c r="AA21" s="118" t="str">
        <f>F25</f>
        <v>Management Fees (%):</v>
      </c>
      <c r="AB21" s="119">
        <f>J25</f>
        <v>70</v>
      </c>
    </row>
    <row r="22" spans="2:28" x14ac:dyDescent="0.2">
      <c r="AA22" s="118" t="str">
        <f>I15</f>
        <v>PMI ($):</v>
      </c>
      <c r="AB22" s="119">
        <f>K15</f>
        <v>0</v>
      </c>
    </row>
    <row r="23" spans="2:28" x14ac:dyDescent="0.2">
      <c r="B23" s="327" t="s">
        <v>46</v>
      </c>
      <c r="C23" s="332">
        <v>0.04</v>
      </c>
      <c r="D23" s="334">
        <f>C23*D11</f>
        <v>35</v>
      </c>
      <c r="F23" s="380" t="s">
        <v>47</v>
      </c>
      <c r="G23" s="381"/>
      <c r="H23" s="381"/>
      <c r="I23" s="332">
        <v>0.05</v>
      </c>
      <c r="J23" s="391">
        <f>I23*D11</f>
        <v>43.75</v>
      </c>
      <c r="K23" s="392"/>
      <c r="L23" s="10"/>
      <c r="AA23" s="118" t="str">
        <f>I17</f>
        <v>Insurance ($):</v>
      </c>
      <c r="AB23" s="119">
        <f>K17</f>
        <v>32</v>
      </c>
    </row>
    <row r="25" spans="2:28" x14ac:dyDescent="0.2">
      <c r="B25" s="327" t="s">
        <v>59</v>
      </c>
      <c r="C25" s="332">
        <v>0.05</v>
      </c>
      <c r="D25" s="334">
        <f>D11*C25</f>
        <v>43.75</v>
      </c>
      <c r="F25" s="380" t="s">
        <v>48</v>
      </c>
      <c r="G25" s="381"/>
      <c r="H25" s="381"/>
      <c r="I25" s="332">
        <v>0.08</v>
      </c>
      <c r="J25" s="391">
        <f>D9*I25</f>
        <v>70</v>
      </c>
      <c r="K25" s="392"/>
    </row>
    <row r="27" spans="2:28" x14ac:dyDescent="0.2">
      <c r="B27" s="382" t="s">
        <v>49</v>
      </c>
      <c r="C27" s="382"/>
      <c r="D27" s="382"/>
      <c r="E27" s="382"/>
      <c r="F27" s="382"/>
      <c r="G27" s="382"/>
      <c r="H27" s="382"/>
      <c r="I27" s="382"/>
      <c r="J27" s="382"/>
      <c r="K27" s="382"/>
      <c r="L27" s="382"/>
    </row>
    <row r="29" spans="2:28" x14ac:dyDescent="0.2">
      <c r="B29" s="380" t="s">
        <v>58</v>
      </c>
      <c r="C29" s="381"/>
      <c r="D29" s="333">
        <v>0.02</v>
      </c>
      <c r="G29" s="380" t="s">
        <v>51</v>
      </c>
      <c r="H29" s="381"/>
      <c r="I29" s="381"/>
      <c r="J29" s="333">
        <v>0.02</v>
      </c>
    </row>
    <row r="30" spans="2:28" x14ac:dyDescent="0.2">
      <c r="B30" s="380" t="s">
        <v>50</v>
      </c>
      <c r="C30" s="381"/>
      <c r="D30" s="333">
        <v>0.02</v>
      </c>
      <c r="G30" s="380" t="s">
        <v>52</v>
      </c>
      <c r="H30" s="381"/>
      <c r="I30" s="381"/>
      <c r="J30" s="333">
        <v>0.105</v>
      </c>
    </row>
  </sheetData>
  <mergeCells count="22">
    <mergeCell ref="K15:L15"/>
    <mergeCell ref="J25:K25"/>
    <mergeCell ref="J23:K23"/>
    <mergeCell ref="F23:H23"/>
    <mergeCell ref="F25:H25"/>
    <mergeCell ref="K17:L17"/>
    <mergeCell ref="B7:L7"/>
    <mergeCell ref="B30:C30"/>
    <mergeCell ref="B29:C29"/>
    <mergeCell ref="G30:I30"/>
    <mergeCell ref="G29:I29"/>
    <mergeCell ref="B27:L27"/>
    <mergeCell ref="B10:C10"/>
    <mergeCell ref="B11:C11"/>
    <mergeCell ref="E19:F19"/>
    <mergeCell ref="E17:F17"/>
    <mergeCell ref="E15:F15"/>
    <mergeCell ref="I17:J17"/>
    <mergeCell ref="I15:J15"/>
    <mergeCell ref="B21:L21"/>
    <mergeCell ref="B13:L13"/>
    <mergeCell ref="B9:C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rgb="FF44A55C"/>
  </sheetPr>
  <dimension ref="A1:M31"/>
  <sheetViews>
    <sheetView zoomScale="110" zoomScaleNormal="110" workbookViewId="0">
      <selection activeCell="H18" sqref="H18"/>
    </sheetView>
  </sheetViews>
  <sheetFormatPr baseColWidth="10" defaultColWidth="9.1640625" defaultRowHeight="15" x14ac:dyDescent="0.2"/>
  <cols>
    <col min="1" max="5" width="9.1640625" style="1"/>
    <col min="6" max="6" width="13.33203125" style="1" bestFit="1" customWidth="1"/>
    <col min="7" max="8" width="9.1640625" style="1"/>
    <col min="9" max="9" width="13.1640625" style="1" customWidth="1"/>
    <col min="10" max="10" width="9.1640625" style="1"/>
    <col min="11" max="11" width="16.5" style="1" bestFit="1" customWidth="1"/>
    <col min="12" max="12" width="21.5" style="1" bestFit="1" customWidth="1"/>
    <col min="13" max="13" width="20.5" style="1" bestFit="1" customWidth="1"/>
    <col min="14" max="16384" width="9.1640625" style="1"/>
  </cols>
  <sheetData>
    <row r="1" spans="1:13" x14ac:dyDescent="0.2">
      <c r="A1" s="5"/>
      <c r="B1" s="5"/>
      <c r="C1" s="5"/>
      <c r="D1" s="5"/>
      <c r="E1" s="5"/>
      <c r="F1" s="507" t="s">
        <v>169</v>
      </c>
      <c r="G1" s="507"/>
      <c r="H1" s="507"/>
      <c r="I1" s="507"/>
      <c r="J1" s="507"/>
      <c r="K1" s="507"/>
      <c r="L1" s="507"/>
    </row>
    <row r="2" spans="1:13" x14ac:dyDescent="0.2">
      <c r="A2" s="5"/>
      <c r="B2" s="5"/>
      <c r="C2" s="5"/>
      <c r="D2" s="5"/>
      <c r="E2" s="5"/>
      <c r="F2" s="507"/>
      <c r="G2" s="507"/>
      <c r="H2" s="507"/>
      <c r="I2" s="507"/>
      <c r="J2" s="507"/>
      <c r="K2" s="507"/>
      <c r="L2" s="507"/>
    </row>
    <row r="3" spans="1:13" x14ac:dyDescent="0.2">
      <c r="A3" s="5"/>
      <c r="B3" s="5"/>
      <c r="C3" s="5"/>
      <c r="D3" s="5"/>
      <c r="E3" s="5"/>
      <c r="F3" s="507"/>
      <c r="G3" s="507"/>
      <c r="H3" s="507"/>
      <c r="I3" s="507"/>
      <c r="J3" s="507"/>
      <c r="K3" s="507"/>
      <c r="L3" s="507"/>
    </row>
    <row r="4" spans="1:13" x14ac:dyDescent="0.2">
      <c r="A4" s="5"/>
      <c r="B4" s="5"/>
      <c r="C4" s="5"/>
      <c r="D4" s="5"/>
      <c r="E4" s="5"/>
      <c r="F4" s="507"/>
      <c r="G4" s="507"/>
      <c r="H4" s="507"/>
      <c r="I4" s="507"/>
      <c r="J4" s="507"/>
      <c r="K4" s="507"/>
      <c r="L4" s="507"/>
    </row>
    <row r="5" spans="1:13" x14ac:dyDescent="0.2">
      <c r="A5" s="5"/>
      <c r="B5" s="5"/>
      <c r="C5" s="5"/>
      <c r="D5" s="5"/>
      <c r="E5" s="5"/>
      <c r="F5" s="507"/>
      <c r="G5" s="507"/>
      <c r="H5" s="507"/>
      <c r="I5" s="507"/>
      <c r="J5" s="507"/>
      <c r="K5" s="507"/>
      <c r="L5" s="507"/>
    </row>
    <row r="6" spans="1:13" x14ac:dyDescent="0.2">
      <c r="A6" s="5"/>
      <c r="B6" s="5"/>
      <c r="C6" s="5"/>
      <c r="D6" s="5"/>
      <c r="E6" s="5"/>
      <c r="F6" s="507"/>
      <c r="G6" s="507"/>
      <c r="H6" s="507"/>
      <c r="I6" s="507"/>
      <c r="J6" s="507"/>
      <c r="K6" s="507"/>
      <c r="L6" s="507"/>
    </row>
    <row r="7" spans="1:13" ht="19" x14ac:dyDescent="0.2">
      <c r="A7" s="5"/>
      <c r="B7" s="379" t="s">
        <v>162</v>
      </c>
      <c r="C7" s="379"/>
      <c r="D7" s="379"/>
      <c r="E7" s="379"/>
      <c r="F7" s="379"/>
      <c r="G7" s="379"/>
      <c r="H7" s="379"/>
      <c r="I7" s="379"/>
      <c r="J7" s="379"/>
      <c r="K7" s="379"/>
    </row>
    <row r="8" spans="1:13" x14ac:dyDescent="0.2">
      <c r="B8" s="349" t="s">
        <v>156</v>
      </c>
      <c r="C8" s="348"/>
      <c r="D8" s="348"/>
      <c r="E8" s="348"/>
      <c r="F8" s="335" t="s">
        <v>142</v>
      </c>
    </row>
    <row r="9" spans="1:13" ht="19" x14ac:dyDescent="0.25">
      <c r="B9" s="349" t="s">
        <v>141</v>
      </c>
      <c r="C9" s="348"/>
      <c r="D9" s="348"/>
      <c r="E9" s="348"/>
      <c r="F9" s="335" t="s">
        <v>142</v>
      </c>
      <c r="I9" s="325" t="str">
        <f>IF(F9="No","","Investor Summary")</f>
        <v>Investor Summary</v>
      </c>
      <c r="J9" s="324"/>
    </row>
    <row r="10" spans="1:13" x14ac:dyDescent="0.2">
      <c r="B10" s="349" t="str">
        <f>IF(F9="No","","How many Investors are in the Deal?")</f>
        <v>How many Investors are in the Deal?</v>
      </c>
      <c r="C10" s="348"/>
      <c r="D10" s="348"/>
      <c r="E10" s="348"/>
      <c r="F10" s="335">
        <v>2</v>
      </c>
      <c r="I10" s="128" t="s">
        <v>144</v>
      </c>
      <c r="J10" s="128" t="s">
        <v>145</v>
      </c>
      <c r="K10" s="128" t="s">
        <v>146</v>
      </c>
      <c r="L10" s="230" t="s">
        <v>147</v>
      </c>
      <c r="M10" s="231" t="str">
        <f>IF(F8="No","Monthly Debt Service","")</f>
        <v/>
      </c>
    </row>
    <row r="11" spans="1:13" x14ac:dyDescent="0.2">
      <c r="B11" s="349" t="s">
        <v>148</v>
      </c>
      <c r="C11" s="348"/>
      <c r="D11" s="348"/>
      <c r="E11" s="348"/>
      <c r="F11" s="335" t="s">
        <v>143</v>
      </c>
      <c r="I11" s="1" t="str">
        <f>IF(ROW()-10&gt;$F$10,"",IF(ROW()-10=1,"GP","Investor "&amp;ROW()-11))</f>
        <v>GP</v>
      </c>
      <c r="J11" s="1" t="str">
        <f>IF(ROW()-10&gt;$F$10,"",IF(ROW()-10=1,"GP","LP"))</f>
        <v>GP</v>
      </c>
      <c r="K11" s="343">
        <f>IF(J11="","",IF(AND(J11="GP",$F$11="Yes"),F12,0))</f>
        <v>0</v>
      </c>
      <c r="L11" s="344">
        <f>IF(J11="","",IF(OR($F$8="Yes",J11="GP"),IF(ROW()-10&gt;$F$10,"",IF(AND(J11="GP",$F$11="No"),$F$13,IF(AND(J11="LP",$F$11="No"),K11/$F$16*(100%-$F$13),K11/$F$16))),0))</f>
        <v>0.3</v>
      </c>
      <c r="M11" s="345">
        <f>IF(I11="","",IF($F$8="Yes",0,IF(J11="GP",0,PMT($F$18/12,$F$17*12,-K11))))</f>
        <v>0</v>
      </c>
    </row>
    <row r="12" spans="1:13" x14ac:dyDescent="0.2">
      <c r="B12" s="349" t="str">
        <f>IF(F11="Yes","How much from GP?","")</f>
        <v/>
      </c>
      <c r="C12" s="348"/>
      <c r="D12" s="348"/>
      <c r="E12" s="348"/>
      <c r="F12" s="336"/>
      <c r="I12" s="1" t="str">
        <f t="shared" ref="I12:I30" si="0">IF(ROW()-10&gt;$F$10,"",IF(ROW()-10=1,"GP","Investor "&amp;ROW()-11))</f>
        <v>Investor 1</v>
      </c>
      <c r="J12" s="1" t="str">
        <f t="shared" ref="J12:J30" si="1">IF(ROW()-10&gt;$F$10,"",IF(ROW()-10=1,"GP","LP"))</f>
        <v>LP</v>
      </c>
      <c r="K12" s="340">
        <v>87500</v>
      </c>
      <c r="L12" s="344">
        <f t="shared" ref="L12:L30" si="2">IF(J12="","",IF(OR($F$8="Yes",J12="GP"),IF(ROW()-10&gt;$F$10,"",IF(AND(J12="GP",$F$11="No"),$F$13,IF(AND(J12="LP",$F$11="No"),K12/$F$16*(100%-$F$13),K12/$F$16))),0))</f>
        <v>0.7</v>
      </c>
      <c r="M12" s="345">
        <f>IF(I12="","",IF($F$8="Yes",0,IF(J12="GP",0,PMT($F$18/12,$F$17*12,-K12))))</f>
        <v>0</v>
      </c>
    </row>
    <row r="13" spans="1:13" x14ac:dyDescent="0.2">
      <c r="B13" s="349" t="str">
        <f>IF(F11="No","How much equity is GP taking?","")</f>
        <v>How much equity is GP taking?</v>
      </c>
      <c r="C13" s="348"/>
      <c r="D13" s="348"/>
      <c r="E13" s="348"/>
      <c r="F13" s="337">
        <v>0.3</v>
      </c>
      <c r="I13" s="1" t="str">
        <f t="shared" si="0"/>
        <v/>
      </c>
      <c r="J13" s="1" t="str">
        <f t="shared" si="1"/>
        <v/>
      </c>
      <c r="K13" s="340"/>
      <c r="L13" s="344" t="str">
        <f t="shared" si="2"/>
        <v/>
      </c>
      <c r="M13" s="345" t="str">
        <f t="shared" ref="M13:M30" si="3">IF(I13="","",IF($F$8="Yes",0,IF(J13="GP",0,PMT($F$18/12,$F$17*12,-K13))))</f>
        <v/>
      </c>
    </row>
    <row r="14" spans="1:13" x14ac:dyDescent="0.2">
      <c r="B14" s="349" t="s">
        <v>149</v>
      </c>
      <c r="C14" s="348"/>
      <c r="D14" s="348"/>
      <c r="E14" s="348"/>
      <c r="F14" s="335" t="s">
        <v>143</v>
      </c>
      <c r="I14" s="1" t="str">
        <f t="shared" si="0"/>
        <v/>
      </c>
      <c r="J14" s="1" t="str">
        <f t="shared" si="1"/>
        <v/>
      </c>
      <c r="K14" s="340"/>
      <c r="L14" s="344" t="str">
        <f t="shared" si="2"/>
        <v/>
      </c>
      <c r="M14" s="345" t="str">
        <f t="shared" si="3"/>
        <v/>
      </c>
    </row>
    <row r="15" spans="1:13" x14ac:dyDescent="0.2">
      <c r="B15" s="128"/>
      <c r="I15" s="1" t="str">
        <f t="shared" si="0"/>
        <v/>
      </c>
      <c r="J15" s="1" t="str">
        <f t="shared" si="1"/>
        <v/>
      </c>
      <c r="K15" s="340"/>
      <c r="L15" s="344" t="str">
        <f t="shared" si="2"/>
        <v/>
      </c>
      <c r="M15" s="345" t="str">
        <f t="shared" si="3"/>
        <v/>
      </c>
    </row>
    <row r="16" spans="1:13" x14ac:dyDescent="0.2">
      <c r="B16" s="349" t="s">
        <v>150</v>
      </c>
      <c r="C16" s="348"/>
      <c r="D16" s="348"/>
      <c r="E16" s="348"/>
      <c r="F16" s="343">
        <f>'4. Report'!D80</f>
        <v>87500</v>
      </c>
      <c r="I16" s="1" t="str">
        <f t="shared" si="0"/>
        <v/>
      </c>
      <c r="J16" s="1" t="str">
        <f t="shared" si="1"/>
        <v/>
      </c>
      <c r="K16" s="340"/>
      <c r="L16" s="344" t="str">
        <f t="shared" si="2"/>
        <v/>
      </c>
      <c r="M16" s="345" t="str">
        <f t="shared" si="3"/>
        <v/>
      </c>
    </row>
    <row r="17" spans="2:13" x14ac:dyDescent="0.2">
      <c r="B17" s="349" t="str">
        <f>IF(F8="No","Debt Term Length","")</f>
        <v/>
      </c>
      <c r="C17" s="348"/>
      <c r="D17" s="348"/>
      <c r="E17" s="348"/>
      <c r="F17" s="338">
        <v>30</v>
      </c>
      <c r="I17" s="1" t="str">
        <f t="shared" si="0"/>
        <v/>
      </c>
      <c r="J17" s="1" t="str">
        <f t="shared" si="1"/>
        <v/>
      </c>
      <c r="K17" s="340"/>
      <c r="L17" s="344" t="str">
        <f t="shared" si="2"/>
        <v/>
      </c>
      <c r="M17" s="345" t="str">
        <f t="shared" si="3"/>
        <v/>
      </c>
    </row>
    <row r="18" spans="2:13" x14ac:dyDescent="0.2">
      <c r="B18" s="349" t="str">
        <f>IF(F8="No","Debt Annual Interest Rate","")</f>
        <v/>
      </c>
      <c r="C18" s="348"/>
      <c r="D18" s="348"/>
      <c r="E18" s="348"/>
      <c r="F18" s="339">
        <v>0.1</v>
      </c>
      <c r="I18" s="1" t="str">
        <f t="shared" si="0"/>
        <v/>
      </c>
      <c r="J18" s="1" t="str">
        <f t="shared" si="1"/>
        <v/>
      </c>
      <c r="K18" s="340"/>
      <c r="L18" s="344" t="str">
        <f t="shared" si="2"/>
        <v/>
      </c>
      <c r="M18" s="345" t="str">
        <f t="shared" si="3"/>
        <v/>
      </c>
    </row>
    <row r="19" spans="2:13" x14ac:dyDescent="0.2">
      <c r="I19" s="1" t="str">
        <f t="shared" si="0"/>
        <v/>
      </c>
      <c r="J19" s="1" t="str">
        <f t="shared" si="1"/>
        <v/>
      </c>
      <c r="K19" s="340"/>
      <c r="L19" s="344" t="str">
        <f t="shared" si="2"/>
        <v/>
      </c>
      <c r="M19" s="345" t="str">
        <f t="shared" si="3"/>
        <v/>
      </c>
    </row>
    <row r="20" spans="2:13" x14ac:dyDescent="0.2">
      <c r="I20" s="1" t="str">
        <f t="shared" si="0"/>
        <v/>
      </c>
      <c r="J20" s="1" t="str">
        <f t="shared" si="1"/>
        <v/>
      </c>
      <c r="K20" s="340"/>
      <c r="L20" s="344" t="str">
        <f t="shared" si="2"/>
        <v/>
      </c>
      <c r="M20" s="345" t="str">
        <f t="shared" si="3"/>
        <v/>
      </c>
    </row>
    <row r="21" spans="2:13" x14ac:dyDescent="0.2">
      <c r="I21" s="1" t="str">
        <f t="shared" si="0"/>
        <v/>
      </c>
      <c r="J21" s="1" t="str">
        <f t="shared" si="1"/>
        <v/>
      </c>
      <c r="K21" s="340"/>
      <c r="L21" s="344" t="str">
        <f t="shared" si="2"/>
        <v/>
      </c>
      <c r="M21" s="345" t="str">
        <f t="shared" si="3"/>
        <v/>
      </c>
    </row>
    <row r="22" spans="2:13" x14ac:dyDescent="0.2">
      <c r="I22" s="1" t="str">
        <f t="shared" si="0"/>
        <v/>
      </c>
      <c r="J22" s="1" t="str">
        <f t="shared" si="1"/>
        <v/>
      </c>
      <c r="K22" s="340"/>
      <c r="L22" s="344" t="str">
        <f t="shared" si="2"/>
        <v/>
      </c>
      <c r="M22" s="345" t="str">
        <f t="shared" si="3"/>
        <v/>
      </c>
    </row>
    <row r="23" spans="2:13" x14ac:dyDescent="0.2">
      <c r="I23" s="1" t="str">
        <f t="shared" si="0"/>
        <v/>
      </c>
      <c r="J23" s="1" t="str">
        <f t="shared" si="1"/>
        <v/>
      </c>
      <c r="K23" s="340"/>
      <c r="L23" s="344" t="str">
        <f t="shared" si="2"/>
        <v/>
      </c>
      <c r="M23" s="345" t="str">
        <f t="shared" si="3"/>
        <v/>
      </c>
    </row>
    <row r="24" spans="2:13" x14ac:dyDescent="0.2">
      <c r="I24" s="1" t="str">
        <f t="shared" si="0"/>
        <v/>
      </c>
      <c r="J24" s="1" t="str">
        <f t="shared" si="1"/>
        <v/>
      </c>
      <c r="K24" s="340"/>
      <c r="L24" s="344" t="str">
        <f t="shared" si="2"/>
        <v/>
      </c>
      <c r="M24" s="345" t="str">
        <f t="shared" si="3"/>
        <v/>
      </c>
    </row>
    <row r="25" spans="2:13" x14ac:dyDescent="0.2">
      <c r="I25" s="1" t="str">
        <f t="shared" si="0"/>
        <v/>
      </c>
      <c r="J25" s="1" t="str">
        <f t="shared" si="1"/>
        <v/>
      </c>
      <c r="K25" s="340"/>
      <c r="L25" s="344" t="str">
        <f t="shared" si="2"/>
        <v/>
      </c>
      <c r="M25" s="345" t="str">
        <f t="shared" si="3"/>
        <v/>
      </c>
    </row>
    <row r="26" spans="2:13" x14ac:dyDescent="0.2">
      <c r="I26" s="1" t="str">
        <f t="shared" si="0"/>
        <v/>
      </c>
      <c r="J26" s="1" t="str">
        <f t="shared" si="1"/>
        <v/>
      </c>
      <c r="K26" s="340"/>
      <c r="L26" s="344" t="str">
        <f t="shared" si="2"/>
        <v/>
      </c>
      <c r="M26" s="345" t="str">
        <f t="shared" si="3"/>
        <v/>
      </c>
    </row>
    <row r="27" spans="2:13" x14ac:dyDescent="0.2">
      <c r="I27" s="1" t="str">
        <f t="shared" si="0"/>
        <v/>
      </c>
      <c r="J27" s="1" t="str">
        <f t="shared" si="1"/>
        <v/>
      </c>
      <c r="K27" s="340"/>
      <c r="L27" s="344" t="str">
        <f t="shared" si="2"/>
        <v/>
      </c>
      <c r="M27" s="345" t="str">
        <f t="shared" si="3"/>
        <v/>
      </c>
    </row>
    <row r="28" spans="2:13" x14ac:dyDescent="0.2">
      <c r="I28" s="1" t="str">
        <f t="shared" si="0"/>
        <v/>
      </c>
      <c r="J28" s="1" t="str">
        <f t="shared" si="1"/>
        <v/>
      </c>
      <c r="K28" s="340"/>
      <c r="L28" s="344" t="str">
        <f t="shared" si="2"/>
        <v/>
      </c>
      <c r="M28" s="345" t="str">
        <f t="shared" si="3"/>
        <v/>
      </c>
    </row>
    <row r="29" spans="2:13" x14ac:dyDescent="0.2">
      <c r="I29" s="1" t="str">
        <f t="shared" si="0"/>
        <v/>
      </c>
      <c r="J29" s="131" t="str">
        <f t="shared" si="1"/>
        <v/>
      </c>
      <c r="K29" s="341"/>
      <c r="L29" s="344" t="str">
        <f t="shared" si="2"/>
        <v/>
      </c>
      <c r="M29" s="345" t="str">
        <f t="shared" si="3"/>
        <v/>
      </c>
    </row>
    <row r="30" spans="2:13" x14ac:dyDescent="0.2">
      <c r="I30" s="132" t="str">
        <f t="shared" si="0"/>
        <v/>
      </c>
      <c r="J30" s="132" t="str">
        <f t="shared" si="1"/>
        <v/>
      </c>
      <c r="K30" s="342"/>
      <c r="L30" s="346" t="str">
        <f t="shared" si="2"/>
        <v/>
      </c>
      <c r="M30" s="347" t="str">
        <f t="shared" si="3"/>
        <v/>
      </c>
    </row>
    <row r="31" spans="2:13" x14ac:dyDescent="0.2">
      <c r="H31" s="128" t="s">
        <v>151</v>
      </c>
      <c r="K31" s="129">
        <f>SUM(K11:K30)-F16</f>
        <v>0</v>
      </c>
      <c r="L31" s="130">
        <f>IF(F8="No",0,SUM(L11:L30)-100%)</f>
        <v>0</v>
      </c>
      <c r="M31" s="229">
        <f>SUM(M11:M30)</f>
        <v>0</v>
      </c>
    </row>
  </sheetData>
  <mergeCells count="2">
    <mergeCell ref="B7:K7"/>
    <mergeCell ref="F1:L6"/>
  </mergeCells>
  <dataValidations count="5">
    <dataValidation type="list" allowBlank="1" showInputMessage="1" showErrorMessage="1" sqref="F9 F11 F14" xr:uid="{00000000-0002-0000-0400-000000000000}">
      <formula1>"Yes,No"</formula1>
    </dataValidation>
    <dataValidation type="whole" allowBlank="1" showInputMessage="1" showErrorMessage="1" errorTitle="Incorrect Input" error="Incorrect Input.  Select a number between 1 and 20." promptTitle="Enter a number between 1 and 20" prompt="Enter the total number of investors in this deal.  Include the general partner._x000a_" sqref="F10" xr:uid="{00000000-0002-0000-0400-000001000000}">
      <formula1>1</formula1>
      <formula2>20</formula2>
    </dataValidation>
    <dataValidation type="list" allowBlank="1" showInputMessage="1" showErrorMessage="1" promptTitle="Will Investors receive equity?" prompt="Select &quot;Yes&quot; if the investors will be receiving equity cash flows; select &quot;No&quot; if the investors will be receiving debt payments." sqref="F8" xr:uid="{00000000-0002-0000-0400-000002000000}">
      <formula1>"Yes,No"</formula1>
    </dataValidation>
    <dataValidation type="whole" allowBlank="1" showInputMessage="1" showErrorMessage="1" errorTitle="Incorrect Inputs" error="Enter a whole number between 1 and 30" promptTitle="Investor loan term lengths" prompt="How many years will you take to pay back the investors?" sqref="F17" xr:uid="{00000000-0002-0000-0400-000003000000}">
      <formula1>1</formula1>
      <formula2>30</formula2>
    </dataValidation>
    <dataValidation type="decimal" allowBlank="1" showInputMessage="1" showErrorMessage="1" errorTitle="Incorrect Inputs" error="Enter a valid percentage yield for the loan." sqref="F18" xr:uid="{00000000-0002-0000-0400-000004000000}">
      <formula1>0</formula1>
      <formula2>1</formula2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A95198"/>
    <pageSetUpPr fitToPage="1"/>
  </sheetPr>
  <dimension ref="A8:Q194"/>
  <sheetViews>
    <sheetView topLeftCell="A4" zoomScale="90" zoomScaleNormal="100" workbookViewId="0">
      <selection activeCell="B107" sqref="B107"/>
    </sheetView>
  </sheetViews>
  <sheetFormatPr baseColWidth="10" defaultColWidth="9.1640625" defaultRowHeight="15" x14ac:dyDescent="0.2"/>
  <cols>
    <col min="1" max="1" width="3.33203125" style="45" customWidth="1"/>
    <col min="2" max="2" width="15.6640625" style="46" customWidth="1"/>
    <col min="3" max="10" width="25.5" style="46" customWidth="1"/>
    <col min="11" max="12" width="20.1640625" style="46" customWidth="1"/>
    <col min="13" max="13" width="13.5" style="46" bestFit="1" customWidth="1"/>
    <col min="14" max="14" width="22.83203125" style="46" customWidth="1"/>
    <col min="15" max="15" width="11.1640625" style="46" bestFit="1" customWidth="1"/>
    <col min="16" max="16" width="12.5" style="46" bestFit="1" customWidth="1"/>
    <col min="17" max="17" width="9.1640625" style="46"/>
    <col min="18" max="16384" width="9.1640625" style="47"/>
  </cols>
  <sheetData>
    <row r="8" spans="1:13" ht="34" x14ac:dyDescent="0.2">
      <c r="B8" s="323" t="s">
        <v>53</v>
      </c>
    </row>
    <row r="9" spans="1:13" ht="34" x14ac:dyDescent="0.2">
      <c r="B9" s="78"/>
    </row>
    <row r="11" spans="1:13" ht="18.75" customHeight="1" x14ac:dyDescent="0.2">
      <c r="B11" s="433" t="str">
        <f>'1. Property Information'!$D$9</f>
        <v>702 &amp; 704 S Lincoln St. Santa Maria, CA 93458
 Ten Unit Investment Property</v>
      </c>
      <c r="C11" s="433"/>
      <c r="D11" s="433"/>
      <c r="E11" s="433"/>
      <c r="F11" s="90"/>
      <c r="G11" s="90"/>
    </row>
    <row r="12" spans="1:13" ht="15" customHeight="1" x14ac:dyDescent="0.2">
      <c r="B12" s="433"/>
      <c r="C12" s="433"/>
      <c r="D12" s="433"/>
      <c r="E12" s="433"/>
      <c r="F12" s="90"/>
      <c r="G12" s="90"/>
    </row>
    <row r="13" spans="1:13" x14ac:dyDescent="0.2">
      <c r="B13" s="58" t="s">
        <v>77</v>
      </c>
      <c r="C13" s="401" t="str">
        <f>'1. Property Information'!D11</f>
        <v>702 S Lincoln St. &amp; 704 S Lincoln St.</v>
      </c>
      <c r="D13" s="401"/>
      <c r="E13" s="401"/>
      <c r="F13" s="401"/>
    </row>
    <row r="14" spans="1:13" x14ac:dyDescent="0.2">
      <c r="B14" s="58"/>
      <c r="C14" s="58"/>
      <c r="D14" s="401" t="str">
        <f>'1. Property Information'!C13&amp;", "&amp;'1. Property Information'!F13&amp;" "&amp;'1. Property Information'!I13</f>
        <v>Santa Maria, CA 93458</v>
      </c>
      <c r="E14" s="401"/>
      <c r="F14" s="401"/>
    </row>
    <row r="15" spans="1:13" ht="16" thickBot="1" x14ac:dyDescent="0.25"/>
    <row r="16" spans="1:13" x14ac:dyDescent="0.2">
      <c r="A16" s="79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1"/>
    </row>
    <row r="17" spans="1:13" x14ac:dyDescent="0.2">
      <c r="A17" s="82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1"/>
    </row>
    <row r="18" spans="1:13" x14ac:dyDescent="0.2">
      <c r="A18" s="82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1"/>
    </row>
    <row r="19" spans="1:13" x14ac:dyDescent="0.2">
      <c r="A19" s="82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1"/>
    </row>
    <row r="20" spans="1:13" x14ac:dyDescent="0.2">
      <c r="A20" s="82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1"/>
    </row>
    <row r="21" spans="1:13" x14ac:dyDescent="0.2">
      <c r="A21" s="82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1"/>
    </row>
    <row r="22" spans="1:13" x14ac:dyDescent="0.2">
      <c r="A22" s="82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1"/>
    </row>
    <row r="23" spans="1:13" x14ac:dyDescent="0.2">
      <c r="A23" s="82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1"/>
    </row>
    <row r="24" spans="1:13" x14ac:dyDescent="0.2">
      <c r="A24" s="82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1"/>
    </row>
    <row r="25" spans="1:13" x14ac:dyDescent="0.2">
      <c r="A25" s="82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1"/>
    </row>
    <row r="26" spans="1:13" x14ac:dyDescent="0.2">
      <c r="A26" s="82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1"/>
    </row>
    <row r="27" spans="1:13" x14ac:dyDescent="0.2">
      <c r="A27" s="82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1"/>
    </row>
    <row r="28" spans="1:13" x14ac:dyDescent="0.2">
      <c r="A28" s="82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1"/>
    </row>
    <row r="29" spans="1:13" x14ac:dyDescent="0.2">
      <c r="A29" s="82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1"/>
    </row>
    <row r="30" spans="1:13" x14ac:dyDescent="0.2">
      <c r="A30" s="82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1"/>
    </row>
    <row r="31" spans="1:13" ht="16" thickBot="1" x14ac:dyDescent="0.25">
      <c r="A31" s="83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5"/>
    </row>
    <row r="34" spans="1:15" x14ac:dyDescent="0.2">
      <c r="C34" s="408" t="str">
        <f>'1. Property Information'!B18</f>
        <v>These multi-family homes are located at 702 and 704 S Lincoln St, Santa Maria, CA.702 &amp; 704 S Lincoln St is in Santa Maria, CA and in ZIP code 93458. This property has a lot size of 0.41 acres.  Home Details for 702 &amp; 704 S Lincoln St: 
Multi Family:  0.41 acres lot sizes
County: Santa Barbara
Tax Rate Code Area: 3-000
Land Use Code: Apartment house (5+ units)</v>
      </c>
      <c r="D34" s="408"/>
      <c r="E34" s="408"/>
      <c r="F34" s="408"/>
      <c r="G34" s="408"/>
      <c r="H34" s="408"/>
      <c r="I34" s="408"/>
      <c r="J34" s="408"/>
      <c r="K34" s="408"/>
      <c r="L34" s="408"/>
      <c r="M34" s="408"/>
    </row>
    <row r="35" spans="1:15" x14ac:dyDescent="0.2">
      <c r="C35" s="408"/>
      <c r="D35" s="408"/>
      <c r="E35" s="408"/>
      <c r="F35" s="408"/>
      <c r="G35" s="408"/>
      <c r="H35" s="408"/>
      <c r="I35" s="408"/>
      <c r="J35" s="408"/>
      <c r="K35" s="408"/>
      <c r="L35" s="408"/>
      <c r="M35" s="408"/>
    </row>
    <row r="36" spans="1:15" x14ac:dyDescent="0.2">
      <c r="C36" s="408"/>
      <c r="D36" s="408"/>
      <c r="E36" s="408"/>
      <c r="F36" s="408"/>
      <c r="G36" s="408"/>
      <c r="H36" s="408"/>
      <c r="I36" s="408"/>
      <c r="J36" s="408"/>
      <c r="K36" s="408"/>
      <c r="L36" s="408"/>
      <c r="M36" s="408"/>
    </row>
    <row r="37" spans="1:15" x14ac:dyDescent="0.2">
      <c r="C37" s="408"/>
      <c r="D37" s="408"/>
      <c r="E37" s="408"/>
      <c r="F37" s="408"/>
      <c r="G37" s="408"/>
      <c r="H37" s="408"/>
      <c r="I37" s="408"/>
      <c r="J37" s="408"/>
      <c r="K37" s="408"/>
      <c r="L37" s="408"/>
      <c r="M37" s="408"/>
    </row>
    <row r="38" spans="1:15" x14ac:dyDescent="0.2">
      <c r="C38" s="408"/>
      <c r="D38" s="408"/>
      <c r="E38" s="408"/>
      <c r="F38" s="408"/>
      <c r="G38" s="408"/>
      <c r="H38" s="408"/>
      <c r="I38" s="408"/>
      <c r="J38" s="408"/>
      <c r="K38" s="408"/>
      <c r="L38" s="408"/>
      <c r="M38" s="408"/>
    </row>
    <row r="39" spans="1:15" x14ac:dyDescent="0.2">
      <c r="C39" s="408"/>
      <c r="D39" s="408"/>
      <c r="E39" s="408"/>
      <c r="F39" s="408"/>
      <c r="G39" s="408"/>
      <c r="H39" s="408"/>
      <c r="I39" s="408"/>
      <c r="J39" s="408"/>
      <c r="K39" s="408"/>
      <c r="L39" s="408"/>
      <c r="M39" s="408"/>
    </row>
    <row r="40" spans="1:15" x14ac:dyDescent="0.2">
      <c r="C40" s="408"/>
      <c r="D40" s="408"/>
      <c r="E40" s="408"/>
      <c r="F40" s="408"/>
      <c r="G40" s="408"/>
      <c r="H40" s="408"/>
      <c r="I40" s="408"/>
      <c r="J40" s="408"/>
      <c r="K40" s="408"/>
      <c r="L40" s="408"/>
      <c r="M40" s="408"/>
    </row>
    <row r="42" spans="1:15" ht="3" customHeight="1" x14ac:dyDescent="0.2">
      <c r="A42" s="59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5" ht="15" customHeight="1" x14ac:dyDescent="0.2"/>
    <row r="44" spans="1:15" ht="15" customHeight="1" x14ac:dyDescent="0.2"/>
    <row r="45" spans="1:15" ht="19" x14ac:dyDescent="0.2">
      <c r="B45" s="409" t="s">
        <v>108</v>
      </c>
      <c r="C45" s="409"/>
      <c r="D45" s="409"/>
      <c r="E45" s="409"/>
    </row>
    <row r="46" spans="1:15" x14ac:dyDescent="0.2">
      <c r="F46" s="393">
        <f>'3. Rent &amp; Expenses'!D11</f>
        <v>875</v>
      </c>
      <c r="G46" s="394"/>
      <c r="H46" s="48"/>
      <c r="I46" s="393">
        <f>SUM(D71,'3. Rent &amp; Expenses'!C15,'3. Rent &amp; Expenses'!G15,'3. Rent &amp; Expenses'!K15:L15,'3. Rent &amp; Expenses'!K17:L17,'3. Rent &amp; Expenses'!G17,'3. Rent &amp; Expenses'!C17,'3. Rent &amp; Expenses'!C19,'3. Rent &amp; Expenses'!G19,'3. Rent &amp; Expenses'!D23,'3. Rent &amp; Expenses'!D25,'3. Rent &amp; Expenses'!J23:K23,'3. Rent &amp; Expenses'!J25:K25)</f>
        <v>376.5</v>
      </c>
      <c r="J46" s="394"/>
      <c r="K46" s="48"/>
      <c r="L46" s="411">
        <f>F46-I46-IF('3.1 Investor Splits'!F8="No",SUM('3.1 Investor Splits'!M12:M30),0)</f>
        <v>498.5</v>
      </c>
      <c r="M46" s="413"/>
      <c r="O46" s="48">
        <f>L46*4</f>
        <v>1994</v>
      </c>
    </row>
    <row r="47" spans="1:15" x14ac:dyDescent="0.2">
      <c r="B47" s="393">
        <f>'2. Purchase Information'!H9</f>
        <v>85000</v>
      </c>
      <c r="C47" s="394"/>
      <c r="F47" s="399" t="s">
        <v>80</v>
      </c>
      <c r="G47" s="400"/>
      <c r="I47" s="399" t="s">
        <v>78</v>
      </c>
      <c r="J47" s="400"/>
      <c r="L47" s="404" t="s">
        <v>81</v>
      </c>
      <c r="M47" s="405"/>
    </row>
    <row r="48" spans="1:15" x14ac:dyDescent="0.2">
      <c r="B48" s="395"/>
      <c r="C48" s="396"/>
    </row>
    <row r="49" spans="2:13" x14ac:dyDescent="0.2">
      <c r="B49" s="397" t="s">
        <v>79</v>
      </c>
      <c r="C49" s="398"/>
      <c r="F49" s="402">
        <f>I49/D58</f>
        <v>6.7977272727272733E-2</v>
      </c>
      <c r="G49" s="403"/>
      <c r="I49" s="411">
        <f>(F46-D74)*12</f>
        <v>5982</v>
      </c>
      <c r="J49" s="412"/>
      <c r="L49" s="393">
        <f>D80</f>
        <v>87500</v>
      </c>
      <c r="M49" s="410"/>
    </row>
    <row r="50" spans="2:13" x14ac:dyDescent="0.2">
      <c r="B50" s="399"/>
      <c r="C50" s="400"/>
      <c r="F50" s="399" t="s">
        <v>82</v>
      </c>
      <c r="G50" s="400"/>
      <c r="I50" s="404" t="s">
        <v>83</v>
      </c>
      <c r="J50" s="405"/>
      <c r="L50" s="399" t="s">
        <v>84</v>
      </c>
      <c r="M50" s="400"/>
    </row>
    <row r="52" spans="2:13" x14ac:dyDescent="0.2">
      <c r="F52" s="406">
        <f>(L46*12)/L49</f>
        <v>6.836571428571428E-2</v>
      </c>
      <c r="G52" s="407"/>
      <c r="I52" s="402">
        <f>I49/B47</f>
        <v>7.037647058823529E-2</v>
      </c>
      <c r="J52" s="403"/>
    </row>
    <row r="53" spans="2:13" x14ac:dyDescent="0.2">
      <c r="F53" s="404" t="s">
        <v>85</v>
      </c>
      <c r="G53" s="405"/>
      <c r="I53" s="399" t="s">
        <v>86</v>
      </c>
      <c r="J53" s="400"/>
    </row>
    <row r="54" spans="2:13" ht="16" thickBot="1" x14ac:dyDescent="0.25">
      <c r="D54" s="48"/>
    </row>
    <row r="55" spans="2:13" x14ac:dyDescent="0.2">
      <c r="B55" s="424" t="s">
        <v>87</v>
      </c>
      <c r="C55" s="425"/>
      <c r="D55" s="70">
        <f>'2. Purchase Information'!D13</f>
        <v>2500</v>
      </c>
    </row>
    <row r="56" spans="2:13" x14ac:dyDescent="0.2">
      <c r="B56" s="418" t="s">
        <v>88</v>
      </c>
      <c r="C56" s="419"/>
      <c r="D56" s="71">
        <f>'2. Purchase Information'!D11</f>
        <v>0</v>
      </c>
    </row>
    <row r="57" spans="2:13" x14ac:dyDescent="0.2">
      <c r="B57" s="418" t="s">
        <v>89</v>
      </c>
      <c r="C57" s="419"/>
      <c r="D57" s="71">
        <f>SUM(D55,D56,B47)</f>
        <v>87500</v>
      </c>
    </row>
    <row r="58" spans="2:13" x14ac:dyDescent="0.2">
      <c r="B58" s="420" t="s">
        <v>90</v>
      </c>
      <c r="C58" s="421"/>
      <c r="D58" s="72">
        <f>'2. Purchase Information'!H11</f>
        <v>88000</v>
      </c>
    </row>
    <row r="59" spans="2:13" x14ac:dyDescent="0.2">
      <c r="B59" s="49"/>
      <c r="C59" s="50"/>
      <c r="D59" s="51"/>
    </row>
    <row r="60" spans="2:13" x14ac:dyDescent="0.2">
      <c r="B60" s="416" t="s">
        <v>91</v>
      </c>
      <c r="C60" s="417"/>
      <c r="D60" s="73">
        <f>'2. Purchase Information'!H17</f>
        <v>85000</v>
      </c>
    </row>
    <row r="61" spans="2:13" x14ac:dyDescent="0.2">
      <c r="B61" s="418" t="s">
        <v>92</v>
      </c>
      <c r="C61" s="419"/>
      <c r="D61" s="71">
        <f>'2. Purchase Information'!H21</f>
        <v>0</v>
      </c>
    </row>
    <row r="62" spans="2:13" x14ac:dyDescent="0.2">
      <c r="B62" s="418" t="s">
        <v>96</v>
      </c>
      <c r="C62" s="419"/>
      <c r="D62" s="71">
        <f>'2. Purchase Information'!E25</f>
        <v>0</v>
      </c>
    </row>
    <row r="63" spans="2:13" x14ac:dyDescent="0.2">
      <c r="B63" s="418" t="s">
        <v>93</v>
      </c>
      <c r="C63" s="419"/>
      <c r="D63" s="74">
        <f>'2. Purchase Information'!D23</f>
        <v>15</v>
      </c>
    </row>
    <row r="64" spans="2:13" x14ac:dyDescent="0.2">
      <c r="B64" s="418" t="s">
        <v>94</v>
      </c>
      <c r="C64" s="419"/>
      <c r="D64" s="75">
        <f>'2. Purchase Information'!D21</f>
        <v>0.08</v>
      </c>
    </row>
    <row r="65" spans="2:4" x14ac:dyDescent="0.2">
      <c r="B65" s="420" t="s">
        <v>98</v>
      </c>
      <c r="C65" s="421"/>
      <c r="D65" s="72">
        <f>'2. Purchase Information'!D26</f>
        <v>0</v>
      </c>
    </row>
    <row r="66" spans="2:4" x14ac:dyDescent="0.2">
      <c r="B66" s="49"/>
      <c r="C66" s="50"/>
      <c r="D66" s="51"/>
    </row>
    <row r="67" spans="2:4" x14ac:dyDescent="0.2">
      <c r="B67" s="416" t="s">
        <v>105</v>
      </c>
      <c r="C67" s="417"/>
      <c r="D67" s="73">
        <f>'3. Rent &amp; Expenses'!D9</f>
        <v>875</v>
      </c>
    </row>
    <row r="68" spans="2:4" ht="16" thickBot="1" x14ac:dyDescent="0.25">
      <c r="B68" s="426" t="s">
        <v>104</v>
      </c>
      <c r="C68" s="427"/>
      <c r="D68" s="76">
        <f>'3. Rent &amp; Expenses'!D10</f>
        <v>0</v>
      </c>
    </row>
    <row r="69" spans="2:4" ht="16" thickTop="1" x14ac:dyDescent="0.2">
      <c r="B69" s="420" t="s">
        <v>103</v>
      </c>
      <c r="C69" s="421"/>
      <c r="D69" s="72">
        <f>SUM(D67:D68)</f>
        <v>875</v>
      </c>
    </row>
    <row r="70" spans="2:4" x14ac:dyDescent="0.2">
      <c r="B70" s="49"/>
      <c r="C70" s="50"/>
      <c r="D70" s="51"/>
    </row>
    <row r="71" spans="2:4" x14ac:dyDescent="0.2">
      <c r="B71" s="416" t="s">
        <v>95</v>
      </c>
      <c r="C71" s="417"/>
      <c r="D71" s="73">
        <f>IF('2. Purchase Information'!D27="no",PMT(D64/12,D63*12,-D61),IPMT(D64/12,1,D63*12,-D61))</f>
        <v>0</v>
      </c>
    </row>
    <row r="72" spans="2:4" x14ac:dyDescent="0.2">
      <c r="B72" s="418" t="s">
        <v>99</v>
      </c>
      <c r="C72" s="419"/>
      <c r="D72" s="71">
        <f>SUM('3. Rent &amp; Expenses'!C15,'3. Rent &amp; Expenses'!G15,'3. Rent &amp; Expenses'!K15:L15,'3. Rent &amp; Expenses'!K17:L17,'3. Rent &amp; Expenses'!G17,'3. Rent &amp; Expenses'!C17,'3. Rent &amp; Expenses'!C19,'3. Rent &amp; Expenses'!G19)</f>
        <v>184</v>
      </c>
    </row>
    <row r="73" spans="2:4" ht="16" thickBot="1" x14ac:dyDescent="0.25">
      <c r="B73" s="426" t="s">
        <v>100</v>
      </c>
      <c r="C73" s="427"/>
      <c r="D73" s="76">
        <f>SUM('3. Rent &amp; Expenses'!D23,'3. Rent &amp; Expenses'!D25,'3. Rent &amp; Expenses'!J23:K23,'3. Rent &amp; Expenses'!J25:K25)</f>
        <v>192.5</v>
      </c>
    </row>
    <row r="74" spans="2:4" ht="16" thickTop="1" x14ac:dyDescent="0.2">
      <c r="B74" s="420" t="s">
        <v>101</v>
      </c>
      <c r="C74" s="421"/>
      <c r="D74" s="72">
        <f>SUM(D72:D73)</f>
        <v>376.5</v>
      </c>
    </row>
    <row r="75" spans="2:4" x14ac:dyDescent="0.2">
      <c r="B75" s="49"/>
      <c r="C75" s="50"/>
      <c r="D75" s="51"/>
    </row>
    <row r="76" spans="2:4" x14ac:dyDescent="0.2">
      <c r="B76" s="422" t="s">
        <v>102</v>
      </c>
      <c r="C76" s="423"/>
      <c r="D76" s="77">
        <f>SUM(D71,D74)</f>
        <v>376.5</v>
      </c>
    </row>
    <row r="77" spans="2:4" x14ac:dyDescent="0.2">
      <c r="B77" s="49"/>
      <c r="C77" s="50"/>
      <c r="D77" s="51"/>
    </row>
    <row r="78" spans="2:4" x14ac:dyDescent="0.2">
      <c r="B78" s="422" t="s">
        <v>106</v>
      </c>
      <c r="C78" s="423"/>
      <c r="D78" s="77">
        <f>50%*D69</f>
        <v>437.5</v>
      </c>
    </row>
    <row r="79" spans="2:4" ht="16" thickBot="1" x14ac:dyDescent="0.25">
      <c r="B79" s="52"/>
      <c r="C79" s="53"/>
      <c r="D79" s="54"/>
    </row>
    <row r="80" spans="2:4" ht="17" thickTop="1" thickBot="1" x14ac:dyDescent="0.25">
      <c r="B80" s="414" t="s">
        <v>84</v>
      </c>
      <c r="C80" s="415"/>
      <c r="D80" s="69">
        <f>IF('2. Purchase Information'!K26="no",SUM('4. Report'!D60,'4. Report'!D56,'4. Report'!D55),SUM('4. Report'!D55,'4. Report'!D56,D60,D62,D65))</f>
        <v>87500</v>
      </c>
    </row>
    <row r="83" spans="1:13" ht="3" customHeight="1" x14ac:dyDescent="0.2">
      <c r="A83" s="59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</row>
    <row r="86" spans="1:13" ht="19" x14ac:dyDescent="0.2">
      <c r="B86" s="409" t="s">
        <v>109</v>
      </c>
      <c r="C86" s="409"/>
      <c r="D86" s="409"/>
      <c r="E86" s="409"/>
    </row>
    <row r="88" spans="1:13" x14ac:dyDescent="0.2">
      <c r="D88" s="66">
        <f>D67/D91</f>
        <v>1.0294117647058823E-2</v>
      </c>
      <c r="F88" s="393">
        <f>(D58-D61)</f>
        <v>88000</v>
      </c>
      <c r="G88" s="432"/>
      <c r="H88" s="394"/>
      <c r="J88" s="402">
        <f>'2. Purchase Information'!D28</f>
        <v>6.5000000000000002E-2</v>
      </c>
      <c r="K88" s="431"/>
      <c r="L88" s="403"/>
    </row>
    <row r="89" spans="1:13" x14ac:dyDescent="0.2">
      <c r="D89" s="67" t="s">
        <v>110</v>
      </c>
      <c r="F89" s="399" t="s">
        <v>111</v>
      </c>
      <c r="G89" s="421"/>
      <c r="H89" s="400"/>
      <c r="J89" s="399" t="s">
        <v>112</v>
      </c>
      <c r="K89" s="421"/>
      <c r="L89" s="400"/>
    </row>
    <row r="91" spans="1:13" x14ac:dyDescent="0.2">
      <c r="D91" s="68">
        <f>B47+(D56*40.4%)</f>
        <v>85000</v>
      </c>
      <c r="F91" s="428" t="str">
        <f>IFERROR(I49/(D71*12),"N/A")</f>
        <v>N/A</v>
      </c>
      <c r="G91" s="429"/>
      <c r="H91" s="430"/>
      <c r="J91" s="428">
        <f>B47/(D69*12)</f>
        <v>8.0952380952380949</v>
      </c>
      <c r="K91" s="429"/>
      <c r="L91" s="430"/>
    </row>
    <row r="92" spans="1:13" x14ac:dyDescent="0.2">
      <c r="D92" s="67" t="s">
        <v>115</v>
      </c>
      <c r="F92" s="399" t="s">
        <v>114</v>
      </c>
      <c r="G92" s="421"/>
      <c r="H92" s="400"/>
      <c r="J92" s="399" t="s">
        <v>113</v>
      </c>
      <c r="K92" s="421"/>
      <c r="L92" s="400"/>
    </row>
    <row r="94" spans="1:13" ht="3" customHeight="1" x14ac:dyDescent="0.2">
      <c r="A94" s="59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  <row r="98" spans="1:17" ht="19" x14ac:dyDescent="0.2">
      <c r="B98" s="409" t="s">
        <v>116</v>
      </c>
      <c r="C98" s="409"/>
      <c r="D98" s="409"/>
      <c r="E98" s="409"/>
    </row>
    <row r="100" spans="1:17" x14ac:dyDescent="0.2">
      <c r="D100" s="402">
        <f>'3. Rent &amp; Expenses'!J29</f>
        <v>0.02</v>
      </c>
      <c r="E100" s="410"/>
      <c r="G100" s="402">
        <f>'3. Rent &amp; Expenses'!D29</f>
        <v>0.02</v>
      </c>
      <c r="H100" s="410"/>
      <c r="J100" s="402">
        <f>'3. Rent &amp; Expenses'!D30</f>
        <v>0.02</v>
      </c>
      <c r="K100" s="431"/>
      <c r="L100" s="403"/>
    </row>
    <row r="101" spans="1:17" x14ac:dyDescent="0.2">
      <c r="D101" s="399" t="s">
        <v>117</v>
      </c>
      <c r="E101" s="400"/>
      <c r="G101" s="399" t="s">
        <v>118</v>
      </c>
      <c r="H101" s="400"/>
      <c r="J101" s="399" t="s">
        <v>119</v>
      </c>
      <c r="K101" s="421"/>
      <c r="L101" s="400"/>
    </row>
    <row r="102" spans="1:17" x14ac:dyDescent="0.2">
      <c r="G102" s="45"/>
      <c r="H102" s="45"/>
      <c r="J102" s="45"/>
      <c r="K102" s="45"/>
      <c r="L102" s="45"/>
      <c r="M102" s="47"/>
      <c r="N102" s="47"/>
      <c r="O102" s="47"/>
      <c r="P102" s="47"/>
      <c r="Q102" s="47"/>
    </row>
    <row r="103" spans="1:17" x14ac:dyDescent="0.2">
      <c r="B103" s="45"/>
      <c r="C103" s="112">
        <v>1</v>
      </c>
      <c r="D103" s="113">
        <v>2</v>
      </c>
      <c r="E103" s="113">
        <v>3</v>
      </c>
      <c r="F103" s="113">
        <v>4</v>
      </c>
      <c r="G103" s="113">
        <v>5</v>
      </c>
      <c r="H103" s="113">
        <v>10</v>
      </c>
      <c r="I103" s="113">
        <v>15</v>
      </c>
      <c r="J103" s="113">
        <v>20</v>
      </c>
      <c r="K103" s="113">
        <v>25</v>
      </c>
      <c r="L103" s="114">
        <v>30</v>
      </c>
      <c r="M103" s="47"/>
    </row>
    <row r="104" spans="1:17" s="56" customFormat="1" ht="30" customHeight="1" x14ac:dyDescent="0.2">
      <c r="A104" s="55"/>
      <c r="B104" s="62" t="s">
        <v>120</v>
      </c>
      <c r="C104" s="94">
        <f t="shared" ref="C104:L104" si="0">($D$69*12)*POWER(1+$G$100,C$103-1)</f>
        <v>10500</v>
      </c>
      <c r="D104" s="95">
        <f t="shared" si="0"/>
        <v>10710</v>
      </c>
      <c r="E104" s="95">
        <f t="shared" si="0"/>
        <v>10924.2</v>
      </c>
      <c r="F104" s="95">
        <f t="shared" si="0"/>
        <v>11142.683999999999</v>
      </c>
      <c r="G104" s="95">
        <f t="shared" si="0"/>
        <v>11365.537679999999</v>
      </c>
      <c r="H104" s="95">
        <f t="shared" si="0"/>
        <v>12548.471970534263</v>
      </c>
      <c r="I104" s="95">
        <f t="shared" si="0"/>
        <v>13854.527012160157</v>
      </c>
      <c r="J104" s="95">
        <f t="shared" si="0"/>
        <v>15296.51731154188</v>
      </c>
      <c r="K104" s="95">
        <f t="shared" si="0"/>
        <v>16888.591119489862</v>
      </c>
      <c r="L104" s="96">
        <f t="shared" si="0"/>
        <v>18646.369248122755</v>
      </c>
    </row>
    <row r="105" spans="1:17" s="56" customFormat="1" ht="3" customHeight="1" x14ac:dyDescent="0.2">
      <c r="A105" s="55"/>
      <c r="B105" s="63"/>
      <c r="C105" s="97"/>
      <c r="D105" s="98"/>
      <c r="E105" s="98"/>
      <c r="F105" s="98"/>
      <c r="G105" s="98"/>
      <c r="H105" s="98"/>
      <c r="I105" s="98"/>
      <c r="J105" s="98"/>
      <c r="K105" s="98"/>
      <c r="L105" s="99"/>
    </row>
    <row r="106" spans="1:17" s="56" customFormat="1" ht="30" customHeight="1" x14ac:dyDescent="0.2">
      <c r="A106" s="55"/>
      <c r="B106" s="92" t="s">
        <v>121</v>
      </c>
      <c r="C106" s="97">
        <f>SUM(C107:C108)</f>
        <v>4518</v>
      </c>
      <c r="D106" s="98">
        <f t="shared" ref="D106:L106" si="1">SUM(D107:D108)</f>
        <v>4608.3599999999997</v>
      </c>
      <c r="E106" s="98">
        <f t="shared" si="1"/>
        <v>4700.5271999999995</v>
      </c>
      <c r="F106" s="98">
        <f t="shared" si="1"/>
        <v>4794.5377439999993</v>
      </c>
      <c r="G106" s="98">
        <f t="shared" si="1"/>
        <v>4890.42849888</v>
      </c>
      <c r="H106" s="98">
        <f t="shared" si="1"/>
        <v>5399.4282250356</v>
      </c>
      <c r="I106" s="98">
        <f t="shared" si="1"/>
        <v>5961.4050515180561</v>
      </c>
      <c r="J106" s="98">
        <f t="shared" si="1"/>
        <v>6581.8728774805923</v>
      </c>
      <c r="K106" s="98">
        <f t="shared" si="1"/>
        <v>7266.9194931290667</v>
      </c>
      <c r="L106" s="99">
        <f t="shared" si="1"/>
        <v>8023.2663107636772</v>
      </c>
    </row>
    <row r="107" spans="1:17" s="56" customFormat="1" ht="30" customHeight="1" x14ac:dyDescent="0.2">
      <c r="A107" s="55"/>
      <c r="B107" s="63" t="s">
        <v>122</v>
      </c>
      <c r="C107" s="97">
        <f t="shared" ref="C107:L107" si="2">($D$74*12)*POWER(1+$D$100,C$103-1)</f>
        <v>4518</v>
      </c>
      <c r="D107" s="98">
        <f t="shared" si="2"/>
        <v>4608.3599999999997</v>
      </c>
      <c r="E107" s="98">
        <f t="shared" si="2"/>
        <v>4700.5271999999995</v>
      </c>
      <c r="F107" s="98">
        <f t="shared" si="2"/>
        <v>4794.5377439999993</v>
      </c>
      <c r="G107" s="98">
        <f t="shared" si="2"/>
        <v>4890.42849888</v>
      </c>
      <c r="H107" s="98">
        <f t="shared" si="2"/>
        <v>5399.4282250356</v>
      </c>
      <c r="I107" s="98">
        <f t="shared" si="2"/>
        <v>5961.4050515180561</v>
      </c>
      <c r="J107" s="98">
        <f t="shared" si="2"/>
        <v>6581.8728774805923</v>
      </c>
      <c r="K107" s="98">
        <f t="shared" si="2"/>
        <v>7266.9194931290667</v>
      </c>
      <c r="L107" s="99">
        <f t="shared" si="2"/>
        <v>8023.2663107636772</v>
      </c>
    </row>
    <row r="108" spans="1:17" s="56" customFormat="1" ht="30" customHeight="1" thickBot="1" x14ac:dyDescent="0.25">
      <c r="A108" s="55"/>
      <c r="B108" s="64" t="s">
        <v>123</v>
      </c>
      <c r="C108" s="100">
        <f>SUM(INDEX('Debt Payment (Monthly)'!$B$12:$K$371,('4. Report'!C103-1)*12+1,4):INDEX('Debt Payment (Monthly)'!$B$12:$K$371,('4. Report'!C103-1)*12+12,4))</f>
        <v>0</v>
      </c>
      <c r="D108" s="101">
        <f>SUM(INDEX('Debt Payment (Monthly)'!$B$12:$K$371,('4. Report'!D103-1)*12+1,4):INDEX('Debt Payment (Monthly)'!$B$12:$K$371,('4. Report'!D103-1)*12+12,4))</f>
        <v>0</v>
      </c>
      <c r="E108" s="101">
        <f>SUM(INDEX('Debt Payment (Monthly)'!$B$12:$K$371,('4. Report'!E103-1)*12+1,4):INDEX('Debt Payment (Monthly)'!$B$12:$K$371,('4. Report'!E103-1)*12+12,4))</f>
        <v>0</v>
      </c>
      <c r="F108" s="101">
        <f>SUM(INDEX('Debt Payment (Monthly)'!$B$12:$K$371,('4. Report'!F103-1)*12+1,4):INDEX('Debt Payment (Monthly)'!$B$12:$K$371,('4. Report'!F103-1)*12+12,4))</f>
        <v>0</v>
      </c>
      <c r="G108" s="101">
        <f>SUM(INDEX('Debt Payment (Monthly)'!$B$12:$K$371,('4. Report'!G103-1)*12+1,4):INDEX('Debt Payment (Monthly)'!$B$12:$K$371,('4. Report'!G103-1)*12+12,4))</f>
        <v>0</v>
      </c>
      <c r="H108" s="101">
        <f>SUM(INDEX('Debt Payment (Monthly)'!$B$12:$K$371,('4. Report'!H103-1)*12+1,4):INDEX('Debt Payment (Monthly)'!$B$12:$K$371,('4. Report'!H103-1)*12+12,4))</f>
        <v>0</v>
      </c>
      <c r="I108" s="101">
        <f>SUM(INDEX('Debt Payment (Monthly)'!$B$12:$K$371,('4. Report'!I103-1)*12+1,4):INDEX('Debt Payment (Monthly)'!$B$12:$K$371,('4. Report'!I103-1)*12+12,4))</f>
        <v>0</v>
      </c>
      <c r="J108" s="101">
        <f>SUM(INDEX('Debt Payment (Monthly)'!$B$12:$K$371,('4. Report'!J103-1)*12+1,4):INDEX('Debt Payment (Monthly)'!$B$12:$K$371,('4. Report'!J103-1)*12+12,4))</f>
        <v>0</v>
      </c>
      <c r="K108" s="101">
        <f>SUM(INDEX('Debt Payment (Monthly)'!$B$12:$K$371,('4. Report'!K103-1)*12+1,4):INDEX('Debt Payment (Monthly)'!$B$12:$K$371,('4. Report'!K103-1)*12+12,4))</f>
        <v>0</v>
      </c>
      <c r="L108" s="102">
        <f>SUM(INDEX('Debt Payment (Monthly)'!$B$12:$K$371,('4. Report'!L103-1)*12+1,4):INDEX('Debt Payment (Monthly)'!$B$12:$K$371,('4. Report'!L103-1)*12+12,4))</f>
        <v>0</v>
      </c>
    </row>
    <row r="109" spans="1:17" s="56" customFormat="1" ht="30" customHeight="1" thickTop="1" x14ac:dyDescent="0.2">
      <c r="A109" s="55"/>
      <c r="B109" s="63" t="s">
        <v>124</v>
      </c>
      <c r="C109" s="97">
        <f>C104-C106</f>
        <v>5982</v>
      </c>
      <c r="D109" s="98">
        <f t="shared" ref="D109:L109" si="3">D104-D106</f>
        <v>6101.64</v>
      </c>
      <c r="E109" s="98">
        <f t="shared" si="3"/>
        <v>6223.6728000000012</v>
      </c>
      <c r="F109" s="98">
        <f t="shared" si="3"/>
        <v>6348.146256</v>
      </c>
      <c r="G109" s="98">
        <f t="shared" si="3"/>
        <v>6475.1091811199994</v>
      </c>
      <c r="H109" s="98">
        <f t="shared" si="3"/>
        <v>7149.0437454986632</v>
      </c>
      <c r="I109" s="98">
        <f t="shared" si="3"/>
        <v>7893.1219606421009</v>
      </c>
      <c r="J109" s="98">
        <f t="shared" si="3"/>
        <v>8714.644434061287</v>
      </c>
      <c r="K109" s="98">
        <f t="shared" si="3"/>
        <v>9621.6716263607959</v>
      </c>
      <c r="L109" s="99">
        <f t="shared" si="3"/>
        <v>10623.102937359079</v>
      </c>
    </row>
    <row r="110" spans="1:17" s="56" customFormat="1" ht="3" customHeight="1" x14ac:dyDescent="0.2">
      <c r="A110" s="55"/>
      <c r="B110" s="63"/>
      <c r="C110" s="97"/>
      <c r="D110" s="98"/>
      <c r="E110" s="98"/>
      <c r="F110" s="98"/>
      <c r="G110" s="98"/>
      <c r="H110" s="98"/>
      <c r="I110" s="98"/>
      <c r="J110" s="98"/>
      <c r="K110" s="98"/>
      <c r="L110" s="99"/>
    </row>
    <row r="111" spans="1:17" s="56" customFormat="1" ht="30" customHeight="1" x14ac:dyDescent="0.2">
      <c r="A111" s="55"/>
      <c r="B111" s="63" t="s">
        <v>125</v>
      </c>
      <c r="C111" s="109">
        <f>C109/$D$80</f>
        <v>6.836571428571428E-2</v>
      </c>
      <c r="D111" s="110">
        <f t="shared" ref="D111:L111" si="4">D109/$D$80</f>
        <v>6.9733028571428574E-2</v>
      </c>
      <c r="E111" s="110">
        <f t="shared" si="4"/>
        <v>7.1127689142857151E-2</v>
      </c>
      <c r="F111" s="110">
        <f t="shared" si="4"/>
        <v>7.2550242925714284E-2</v>
      </c>
      <c r="G111" s="110">
        <f t="shared" si="4"/>
        <v>7.4001247784228563E-2</v>
      </c>
      <c r="H111" s="110">
        <f t="shared" si="4"/>
        <v>8.1703357091413298E-2</v>
      </c>
      <c r="I111" s="110">
        <f t="shared" si="4"/>
        <v>9.0207108121624011E-2</v>
      </c>
      <c r="J111" s="110">
        <f t="shared" si="4"/>
        <v>9.9595936389271847E-2</v>
      </c>
      <c r="K111" s="110">
        <f t="shared" si="4"/>
        <v>0.10996196144412339</v>
      </c>
      <c r="L111" s="111">
        <f t="shared" si="4"/>
        <v>0.12140689071267519</v>
      </c>
    </row>
    <row r="112" spans="1:17" s="56" customFormat="1" ht="30" customHeight="1" x14ac:dyDescent="0.2">
      <c r="A112" s="55"/>
      <c r="B112" s="63" t="s">
        <v>126</v>
      </c>
      <c r="C112" s="97">
        <f t="shared" ref="C112:L112" si="5">$D$58*POWER(1+$J$100,C$103)</f>
        <v>89760</v>
      </c>
      <c r="D112" s="98">
        <f t="shared" si="5"/>
        <v>91555.199999999997</v>
      </c>
      <c r="E112" s="98">
        <f t="shared" si="5"/>
        <v>93386.303999999989</v>
      </c>
      <c r="F112" s="98">
        <f t="shared" si="5"/>
        <v>95254.030079999997</v>
      </c>
      <c r="G112" s="98">
        <f t="shared" si="5"/>
        <v>97159.110681599996</v>
      </c>
      <c r="H112" s="98">
        <f t="shared" si="5"/>
        <v>107271.50895953862</v>
      </c>
      <c r="I112" s="98">
        <f t="shared" si="5"/>
        <v>118436.41377252337</v>
      </c>
      <c r="J112" s="98">
        <f t="shared" si="5"/>
        <v>130763.37084609517</v>
      </c>
      <c r="K112" s="98">
        <f t="shared" si="5"/>
        <v>144373.32751289621</v>
      </c>
      <c r="L112" s="99">
        <f t="shared" si="5"/>
        <v>159399.8194010951</v>
      </c>
    </row>
    <row r="113" spans="1:17" s="56" customFormat="1" ht="30" customHeight="1" thickBot="1" x14ac:dyDescent="0.25">
      <c r="A113" s="55"/>
      <c r="B113" s="64" t="s">
        <v>128</v>
      </c>
      <c r="C113" s="100">
        <f>IFERROR($D$61-INDEX('Debt Payment (Yearly)'!$C$12:$K$42,MATCH('4. Report'!C103,'Debt Payment (Yearly)'!$C$12:$C$42,0),7),0)</f>
        <v>0</v>
      </c>
      <c r="D113" s="101">
        <f>IFERROR($D$61-INDEX('Debt Payment (Yearly)'!$C$12:$K$42,MATCH('4. Report'!D103,'Debt Payment (Yearly)'!$C$12:$C$42,0),7),0)</f>
        <v>0</v>
      </c>
      <c r="E113" s="101">
        <f>IFERROR($D$61-INDEX('Debt Payment (Yearly)'!$C$12:$K$42,MATCH('4. Report'!E103,'Debt Payment (Yearly)'!$C$12:$C$42,0),7),0)</f>
        <v>0</v>
      </c>
      <c r="F113" s="101">
        <f>IFERROR($D$61-INDEX('Debt Payment (Yearly)'!$C$12:$K$42,MATCH('4. Report'!F103,'Debt Payment (Yearly)'!$C$12:$C$42,0),7),0)</f>
        <v>0</v>
      </c>
      <c r="G113" s="101">
        <f>IFERROR($D$61-INDEX('Debt Payment (Yearly)'!$C$12:$K$42,MATCH('4. Report'!G103,'Debt Payment (Yearly)'!$C$12:$C$42,0),7),0)</f>
        <v>0</v>
      </c>
      <c r="H113" s="101">
        <f>IFERROR($D$61-INDEX('Debt Payment (Yearly)'!$C$12:$K$42,MATCH('4. Report'!H103,'Debt Payment (Yearly)'!$C$12:$C$42,0),7),0)</f>
        <v>0</v>
      </c>
      <c r="I113" s="101">
        <f>IFERROR($D$61-INDEX('Debt Payment (Yearly)'!$C$12:$K$42,MATCH('4. Report'!I103,'Debt Payment (Yearly)'!$C$12:$C$42,0),7),0)</f>
        <v>0</v>
      </c>
      <c r="J113" s="101">
        <f>IFERROR($D$61-INDEX('Debt Payment (Yearly)'!$C$12:$K$42,MATCH('4. Report'!J103,'Debt Payment (Yearly)'!$C$12:$C$42,0),7),0)</f>
        <v>0</v>
      </c>
      <c r="K113" s="101">
        <f>IFERROR($D$61-INDEX('Debt Payment (Yearly)'!$C$12:$K$42,MATCH('4. Report'!K103,'Debt Payment (Yearly)'!$C$12:$C$42,0),7),0)</f>
        <v>0</v>
      </c>
      <c r="L113" s="102">
        <f>IFERROR($D$61-INDEX('Debt Payment (Yearly)'!$C$12:$K$42,MATCH('4. Report'!L103,'Debt Payment (Yearly)'!$C$12:$C$42,0),7),0)</f>
        <v>0</v>
      </c>
    </row>
    <row r="114" spans="1:17" s="56" customFormat="1" ht="30" customHeight="1" thickTop="1" thickBot="1" x14ac:dyDescent="0.25">
      <c r="A114" s="55"/>
      <c r="B114" s="65" t="s">
        <v>127</v>
      </c>
      <c r="C114" s="103">
        <f>C112-C113</f>
        <v>89760</v>
      </c>
      <c r="D114" s="104">
        <f t="shared" ref="D114:L114" si="6">D112-D113</f>
        <v>91555.199999999997</v>
      </c>
      <c r="E114" s="104">
        <f t="shared" si="6"/>
        <v>93386.303999999989</v>
      </c>
      <c r="F114" s="104">
        <f t="shared" si="6"/>
        <v>95254.030079999997</v>
      </c>
      <c r="G114" s="104">
        <f t="shared" si="6"/>
        <v>97159.110681599996</v>
      </c>
      <c r="H114" s="104">
        <f t="shared" si="6"/>
        <v>107271.50895953862</v>
      </c>
      <c r="I114" s="104">
        <f t="shared" si="6"/>
        <v>118436.41377252337</v>
      </c>
      <c r="J114" s="104">
        <f t="shared" si="6"/>
        <v>130763.37084609517</v>
      </c>
      <c r="K114" s="104">
        <f t="shared" si="6"/>
        <v>144373.32751289621</v>
      </c>
      <c r="L114" s="105">
        <f t="shared" si="6"/>
        <v>159399.8194010951</v>
      </c>
    </row>
    <row r="115" spans="1:17" s="56" customFormat="1" ht="3" customHeight="1" thickTop="1" x14ac:dyDescent="0.2">
      <c r="A115" s="55"/>
      <c r="B115" s="63"/>
      <c r="C115" s="97"/>
      <c r="D115" s="98"/>
      <c r="E115" s="98"/>
      <c r="F115" s="98"/>
      <c r="G115" s="98"/>
      <c r="H115" s="98"/>
      <c r="I115" s="98"/>
      <c r="J115" s="98"/>
      <c r="K115" s="98"/>
      <c r="L115" s="99"/>
    </row>
    <row r="116" spans="1:17" s="56" customFormat="1" ht="30" customHeight="1" x14ac:dyDescent="0.2">
      <c r="A116" s="55"/>
      <c r="B116" s="63" t="s">
        <v>129</v>
      </c>
      <c r="C116" s="106">
        <f>C$112-(C$113)-C$112*'3. Rent &amp; Expenses'!$J$30-($D$80)+SUM($C$109:C109)</f>
        <v>-1182.8000000000029</v>
      </c>
      <c r="D116" s="107">
        <f>D$112-(D$113)-D$112*'3. Rent &amp; Expenses'!$J$30-($D$80)+SUM($C$109:D109)</f>
        <v>6525.5439999999944</v>
      </c>
      <c r="E116" s="107">
        <f>E$112-(E$113)-E$112*'3. Rent &amp; Expenses'!$J$30-($D$80)+SUM($C$109:E109)</f>
        <v>14388.054879999996</v>
      </c>
      <c r="F116" s="107">
        <f>F$112-(F$113)-F$112*'3. Rent &amp; Expenses'!$J$30-($D$80)+SUM($C$109:F109)</f>
        <v>22407.815977600003</v>
      </c>
      <c r="G116" s="107">
        <f>G$112-(G$113)-G$112*'3. Rent &amp; Expenses'!$J$30-($D$80)+SUM($C$109:G109)</f>
        <v>30587.972297151999</v>
      </c>
      <c r="H116" s="107">
        <f>'Pro Forma'!L24</f>
        <v>74009.231539218919</v>
      </c>
      <c r="I116" s="107">
        <f>'Pro Forma'!G39</f>
        <v>121949.81031915557</v>
      </c>
      <c r="J116" s="107">
        <f>'Pro Forma'!L39</f>
        <v>174880.083044381</v>
      </c>
      <c r="K116" s="107">
        <f>'Pro Forma'!G53</f>
        <v>233319.38106844283</v>
      </c>
      <c r="L116" s="108">
        <f>'Pro Forma'!L53</f>
        <v>297841.08816929319</v>
      </c>
    </row>
    <row r="117" spans="1:17" s="56" customFormat="1" ht="30" customHeight="1" x14ac:dyDescent="0.2">
      <c r="A117" s="55"/>
      <c r="B117" s="61" t="s">
        <v>130</v>
      </c>
      <c r="C117" s="115">
        <f>RATE(C103,,-$D$80,$D$80+C116)</f>
        <v>-1.3517714285714326E-2</v>
      </c>
      <c r="D117" s="116">
        <f t="shared" ref="D117:L117" si="7">RATE(D103,,-$D$80,$D$80+D116)</f>
        <v>3.6618370334177329E-2</v>
      </c>
      <c r="E117" s="116">
        <f t="shared" si="7"/>
        <v>5.2054906400653599E-2</v>
      </c>
      <c r="F117" s="116">
        <f t="shared" si="7"/>
        <v>5.8656653221533267E-2</v>
      </c>
      <c r="G117" s="116">
        <f t="shared" si="7"/>
        <v>6.1792179965019935E-2</v>
      </c>
      <c r="H117" s="116">
        <f t="shared" si="7"/>
        <v>6.3209699057540605E-2</v>
      </c>
      <c r="I117" s="116">
        <f t="shared" si="7"/>
        <v>5.9916032002544722E-2</v>
      </c>
      <c r="J117" s="116">
        <f t="shared" si="7"/>
        <v>5.6443172198690404E-2</v>
      </c>
      <c r="K117" s="116">
        <f t="shared" si="7"/>
        <v>5.3343699125511776E-2</v>
      </c>
      <c r="L117" s="117">
        <f t="shared" si="7"/>
        <v>5.0657686733364807E-2</v>
      </c>
    </row>
    <row r="118" spans="1:17" x14ac:dyDescent="0.2">
      <c r="M118" s="47"/>
      <c r="N118" s="47"/>
      <c r="O118" s="47"/>
      <c r="P118" s="47"/>
      <c r="Q118" s="47"/>
    </row>
    <row r="119" spans="1:17" ht="3" customHeight="1" x14ac:dyDescent="0.2">
      <c r="C119" s="57"/>
    </row>
    <row r="121" spans="1:17" ht="19" x14ac:dyDescent="0.2">
      <c r="B121" s="409" t="s">
        <v>133</v>
      </c>
      <c r="C121" s="409"/>
      <c r="D121" s="409"/>
      <c r="E121" s="409"/>
    </row>
    <row r="145" spans="1:17" ht="19" x14ac:dyDescent="0.2">
      <c r="B145" s="409" t="str">
        <f>'3.1 Investor Splits'!B7:K7</f>
        <v>Investor Split Information:</v>
      </c>
      <c r="C145" s="409"/>
      <c r="D145" s="409"/>
      <c r="E145" s="409"/>
    </row>
    <row r="148" spans="1:17" x14ac:dyDescent="0.2">
      <c r="C148" s="133">
        <v>1</v>
      </c>
      <c r="D148" s="134">
        <v>2</v>
      </c>
      <c r="E148" s="134">
        <v>3</v>
      </c>
      <c r="F148" s="134">
        <v>4</v>
      </c>
      <c r="G148" s="134">
        <v>5</v>
      </c>
      <c r="H148" s="134">
        <v>10</v>
      </c>
      <c r="I148" s="134">
        <v>15</v>
      </c>
      <c r="J148" s="134">
        <v>20</v>
      </c>
      <c r="K148" s="134">
        <v>25</v>
      </c>
      <c r="L148" s="135">
        <v>30</v>
      </c>
    </row>
    <row r="149" spans="1:17" s="56" customFormat="1" ht="30" customHeight="1" x14ac:dyDescent="0.2">
      <c r="A149" s="55"/>
      <c r="B149" s="139" t="s">
        <v>152</v>
      </c>
      <c r="C149" s="137">
        <f t="shared" ref="C149:L149" si="8">C109</f>
        <v>5982</v>
      </c>
      <c r="D149" s="137">
        <f t="shared" si="8"/>
        <v>6101.64</v>
      </c>
      <c r="E149" s="137">
        <f t="shared" si="8"/>
        <v>6223.6728000000012</v>
      </c>
      <c r="F149" s="137">
        <f t="shared" si="8"/>
        <v>6348.146256</v>
      </c>
      <c r="G149" s="137">
        <f t="shared" si="8"/>
        <v>6475.1091811199994</v>
      </c>
      <c r="H149" s="137">
        <f t="shared" si="8"/>
        <v>7149.0437454986632</v>
      </c>
      <c r="I149" s="137">
        <f t="shared" si="8"/>
        <v>7893.1219606421009</v>
      </c>
      <c r="J149" s="137">
        <f t="shared" si="8"/>
        <v>8714.644434061287</v>
      </c>
      <c r="K149" s="137">
        <f t="shared" si="8"/>
        <v>9621.6716263607959</v>
      </c>
      <c r="L149" s="138">
        <f t="shared" si="8"/>
        <v>10623.102937359079</v>
      </c>
      <c r="M149" s="93"/>
      <c r="N149" s="93"/>
      <c r="O149" s="93"/>
      <c r="P149" s="93"/>
      <c r="Q149" s="93"/>
    </row>
    <row r="150" spans="1:17" x14ac:dyDescent="0.2">
      <c r="B150" s="234" t="s">
        <v>153</v>
      </c>
      <c r="C150" s="434" t="s">
        <v>154</v>
      </c>
      <c r="D150" s="435"/>
      <c r="E150" s="435"/>
      <c r="F150" s="435"/>
      <c r="G150" s="435"/>
      <c r="H150" s="435"/>
      <c r="I150" s="435"/>
      <c r="J150" s="435"/>
      <c r="K150" s="435"/>
      <c r="L150" s="436"/>
    </row>
    <row r="151" spans="1:17" x14ac:dyDescent="0.2">
      <c r="B151" s="232" t="str">
        <f>'3.1 Investor Splits'!I11</f>
        <v>GP</v>
      </c>
      <c r="C151" s="141">
        <f>INDEX('Pro Forma'!$W$35:$AZ$54,ROW()-ROW('4. Report'!$B$150),'4. Report'!C$148)</f>
        <v>1794.6</v>
      </c>
      <c r="D151" s="142">
        <f>INDEX('Pro Forma'!$W$35:$AZ$54,ROW()-ROW('4. Report'!$B$150),'4. Report'!D$148)</f>
        <v>1830.492</v>
      </c>
      <c r="E151" s="142">
        <f>INDEX('Pro Forma'!$W$35:$AZ$54,ROW()-ROW('4. Report'!$B$150),'4. Report'!E$148)</f>
        <v>1867.1018400000003</v>
      </c>
      <c r="F151" s="142">
        <f>INDEX('Pro Forma'!$W$35:$AZ$54,ROW()-ROW('4. Report'!$B$150),'4. Report'!F$148)</f>
        <v>1904.4438768</v>
      </c>
      <c r="G151" s="142">
        <f>INDEX('Pro Forma'!$W$35:$AZ$54,ROW()-ROW('4. Report'!$B$150),'4. Report'!G$148)</f>
        <v>1942.5327543359997</v>
      </c>
      <c r="H151" s="142">
        <f>INDEX('Pro Forma'!$W$35:$AZ$54,ROW()-ROW('4. Report'!$B$150),'4. Report'!H$148)</f>
        <v>2144.7131236495989</v>
      </c>
      <c r="I151" s="142">
        <f>INDEX('Pro Forma'!$W$35:$AZ$54,ROW()-ROW('4. Report'!$B$150),'4. Report'!I$148)</f>
        <v>2367.9365881926301</v>
      </c>
      <c r="J151" s="142">
        <f>INDEX('Pro Forma'!$W$35:$AZ$54,ROW()-ROW('4. Report'!$B$150),'4. Report'!J$148)</f>
        <v>2614.3933302183859</v>
      </c>
      <c r="K151" s="142">
        <f>INDEX('Pro Forma'!$W$35:$AZ$54,ROW()-ROW('4. Report'!$B$150),'4. Report'!K$148)</f>
        <v>2886.5014879082387</v>
      </c>
      <c r="L151" s="143">
        <f>INDEX('Pro Forma'!$W$35:$AZ$54,ROW()-ROW('4. Report'!$B$150),'4. Report'!L$148)</f>
        <v>3186.9308812077238</v>
      </c>
      <c r="M151" s="235"/>
      <c r="N151" s="57"/>
      <c r="O151" s="57"/>
    </row>
    <row r="152" spans="1:17" x14ac:dyDescent="0.2">
      <c r="B152" s="232" t="str">
        <f>'3.1 Investor Splits'!I12</f>
        <v>Investor 1</v>
      </c>
      <c r="C152" s="144">
        <f>INDEX('Pro Forma'!$W$35:$AZ$54,ROW()-ROW('4. Report'!$B$150),'4. Report'!C$148)</f>
        <v>4187.3999999999996</v>
      </c>
      <c r="D152" s="140">
        <f>INDEX('Pro Forma'!$W$35:$AZ$54,ROW()-ROW('4. Report'!$B$150),'4. Report'!D$148)</f>
        <v>4271.1480000000001</v>
      </c>
      <c r="E152" s="140">
        <f>INDEX('Pro Forma'!$W$35:$AZ$54,ROW()-ROW('4. Report'!$B$150),'4. Report'!E$148)</f>
        <v>4356.5709600000009</v>
      </c>
      <c r="F152" s="140">
        <f>INDEX('Pro Forma'!$W$35:$AZ$54,ROW()-ROW('4. Report'!$B$150),'4. Report'!F$148)</f>
        <v>4443.7023792</v>
      </c>
      <c r="G152" s="140">
        <f>INDEX('Pro Forma'!$W$35:$AZ$54,ROW()-ROW('4. Report'!$B$150),'4. Report'!G$148)</f>
        <v>4532.5764267839995</v>
      </c>
      <c r="H152" s="140">
        <f>INDEX('Pro Forma'!$W$35:$AZ$54,ROW()-ROW('4. Report'!$B$150),'4. Report'!H$148)</f>
        <v>5004.3306218490643</v>
      </c>
      <c r="I152" s="140">
        <f>INDEX('Pro Forma'!$W$35:$AZ$54,ROW()-ROW('4. Report'!$B$150),'4. Report'!I$148)</f>
        <v>5525.1853724494704</v>
      </c>
      <c r="J152" s="140">
        <f>INDEX('Pro Forma'!$W$35:$AZ$54,ROW()-ROW('4. Report'!$B$150),'4. Report'!J$148)</f>
        <v>6100.2511038429002</v>
      </c>
      <c r="K152" s="140">
        <f>INDEX('Pro Forma'!$W$35:$AZ$54,ROW()-ROW('4. Report'!$B$150),'4. Report'!K$148)</f>
        <v>6735.1701384525568</v>
      </c>
      <c r="L152" s="145">
        <f>INDEX('Pro Forma'!$W$35:$AZ$54,ROW()-ROW('4. Report'!$B$150),'4. Report'!L$148)</f>
        <v>7436.1720561513548</v>
      </c>
      <c r="M152" s="235"/>
      <c r="N152" s="57"/>
      <c r="O152" s="314"/>
      <c r="P152" s="314"/>
    </row>
    <row r="153" spans="1:17" x14ac:dyDescent="0.2">
      <c r="B153" s="232" t="str">
        <f>'3.1 Investor Splits'!I13</f>
        <v/>
      </c>
      <c r="C153" s="144" t="str">
        <f>INDEX('Pro Forma'!$W$35:$AZ$54,ROW()-ROW('4. Report'!$B$150),'4. Report'!C$148)</f>
        <v/>
      </c>
      <c r="D153" s="140" t="str">
        <f>INDEX('Pro Forma'!$W$35:$AZ$54,ROW()-ROW('4. Report'!$B$150),'4. Report'!D$148)</f>
        <v/>
      </c>
      <c r="E153" s="140" t="str">
        <f>INDEX('Pro Forma'!$W$35:$AZ$54,ROW()-ROW('4. Report'!$B$150),'4. Report'!E$148)</f>
        <v/>
      </c>
      <c r="F153" s="140" t="str">
        <f>INDEX('Pro Forma'!$W$35:$AZ$54,ROW()-ROW('4. Report'!$B$150),'4. Report'!F$148)</f>
        <v/>
      </c>
      <c r="G153" s="140" t="str">
        <f>INDEX('Pro Forma'!$W$35:$AZ$54,ROW()-ROW('4. Report'!$B$150),'4. Report'!G$148)</f>
        <v/>
      </c>
      <c r="H153" s="140" t="str">
        <f>INDEX('Pro Forma'!$W$35:$AZ$54,ROW()-ROW('4. Report'!$B$150),'4. Report'!H$148)</f>
        <v/>
      </c>
      <c r="I153" s="140" t="str">
        <f>INDEX('Pro Forma'!$W$35:$AZ$54,ROW()-ROW('4. Report'!$B$150),'4. Report'!I$148)</f>
        <v/>
      </c>
      <c r="J153" s="140" t="str">
        <f>INDEX('Pro Forma'!$W$35:$AZ$54,ROW()-ROW('4. Report'!$B$150),'4. Report'!J$148)</f>
        <v/>
      </c>
      <c r="K153" s="140" t="str">
        <f>INDEX('Pro Forma'!$W$35:$AZ$54,ROW()-ROW('4. Report'!$B$150),'4. Report'!K$148)</f>
        <v/>
      </c>
      <c r="L153" s="145" t="str">
        <f>INDEX('Pro Forma'!$W$35:$AZ$54,ROW()-ROW('4. Report'!$B$150),'4. Report'!L$148)</f>
        <v/>
      </c>
      <c r="M153" s="235" t="str">
        <f t="shared" ref="M153:M170" si="9">IF(""=B153,"",SUM(C153:L153))</f>
        <v/>
      </c>
    </row>
    <row r="154" spans="1:17" x14ac:dyDescent="0.2">
      <c r="B154" s="232" t="str">
        <f>'3.1 Investor Splits'!I14</f>
        <v/>
      </c>
      <c r="C154" s="144" t="str">
        <f>INDEX('Pro Forma'!$W$35:$AZ$54,ROW()-ROW('4. Report'!$B$150),'4. Report'!C$148)</f>
        <v/>
      </c>
      <c r="D154" s="140" t="str">
        <f>INDEX('Pro Forma'!$W$35:$AZ$54,ROW()-ROW('4. Report'!$B$150),'4. Report'!D$148)</f>
        <v/>
      </c>
      <c r="E154" s="140" t="str">
        <f>INDEX('Pro Forma'!$W$35:$AZ$54,ROW()-ROW('4. Report'!$B$150),'4. Report'!E$148)</f>
        <v/>
      </c>
      <c r="F154" s="140" t="str">
        <f>INDEX('Pro Forma'!$W$35:$AZ$54,ROW()-ROW('4. Report'!$B$150),'4. Report'!F$148)</f>
        <v/>
      </c>
      <c r="G154" s="140" t="str">
        <f>INDEX('Pro Forma'!$W$35:$AZ$54,ROW()-ROW('4. Report'!$B$150),'4. Report'!G$148)</f>
        <v/>
      </c>
      <c r="H154" s="140" t="str">
        <f>INDEX('Pro Forma'!$W$35:$AZ$54,ROW()-ROW('4. Report'!$B$150),'4. Report'!H$148)</f>
        <v/>
      </c>
      <c r="I154" s="140" t="str">
        <f>INDEX('Pro Forma'!$W$35:$AZ$54,ROW()-ROW('4. Report'!$B$150),'4. Report'!I$148)</f>
        <v/>
      </c>
      <c r="J154" s="140" t="str">
        <f>INDEX('Pro Forma'!$W$35:$AZ$54,ROW()-ROW('4. Report'!$B$150),'4. Report'!J$148)</f>
        <v/>
      </c>
      <c r="K154" s="140" t="str">
        <f>INDEX('Pro Forma'!$W$35:$AZ$54,ROW()-ROW('4. Report'!$B$150),'4. Report'!K$148)</f>
        <v/>
      </c>
      <c r="L154" s="145" t="str">
        <f>INDEX('Pro Forma'!$W$35:$AZ$54,ROW()-ROW('4. Report'!$B$150),'4. Report'!L$148)</f>
        <v/>
      </c>
      <c r="M154" s="235" t="str">
        <f t="shared" si="9"/>
        <v/>
      </c>
    </row>
    <row r="155" spans="1:17" x14ac:dyDescent="0.2">
      <c r="B155" s="232" t="str">
        <f>'3.1 Investor Splits'!I15</f>
        <v/>
      </c>
      <c r="C155" s="144" t="str">
        <f>INDEX('Pro Forma'!$W$35:$AZ$54,ROW()-ROW('4. Report'!$B$150),'4. Report'!C$148)</f>
        <v/>
      </c>
      <c r="D155" s="140" t="str">
        <f>INDEX('Pro Forma'!$W$35:$AZ$54,ROW()-ROW('4. Report'!$B$150),'4. Report'!D$148)</f>
        <v/>
      </c>
      <c r="E155" s="140" t="str">
        <f>INDEX('Pro Forma'!$W$35:$AZ$54,ROW()-ROW('4. Report'!$B$150),'4. Report'!E$148)</f>
        <v/>
      </c>
      <c r="F155" s="140" t="str">
        <f>INDEX('Pro Forma'!$W$35:$AZ$54,ROW()-ROW('4. Report'!$B$150),'4. Report'!F$148)</f>
        <v/>
      </c>
      <c r="G155" s="140" t="str">
        <f>INDEX('Pro Forma'!$W$35:$AZ$54,ROW()-ROW('4. Report'!$B$150),'4. Report'!G$148)</f>
        <v/>
      </c>
      <c r="H155" s="140" t="str">
        <f>INDEX('Pro Forma'!$W$35:$AZ$54,ROW()-ROW('4. Report'!$B$150),'4. Report'!H$148)</f>
        <v/>
      </c>
      <c r="I155" s="140" t="str">
        <f>INDEX('Pro Forma'!$W$35:$AZ$54,ROW()-ROW('4. Report'!$B$150),'4. Report'!I$148)</f>
        <v/>
      </c>
      <c r="J155" s="140" t="str">
        <f>INDEX('Pro Forma'!$W$35:$AZ$54,ROW()-ROW('4. Report'!$B$150),'4. Report'!J$148)</f>
        <v/>
      </c>
      <c r="K155" s="140" t="str">
        <f>INDEX('Pro Forma'!$W$35:$AZ$54,ROW()-ROW('4. Report'!$B$150),'4. Report'!K$148)</f>
        <v/>
      </c>
      <c r="L155" s="145" t="str">
        <f>INDEX('Pro Forma'!$W$35:$AZ$54,ROW()-ROW('4. Report'!$B$150),'4. Report'!L$148)</f>
        <v/>
      </c>
      <c r="M155" s="235" t="str">
        <f t="shared" si="9"/>
        <v/>
      </c>
    </row>
    <row r="156" spans="1:17" x14ac:dyDescent="0.2">
      <c r="B156" s="232" t="str">
        <f>'3.1 Investor Splits'!I16</f>
        <v/>
      </c>
      <c r="C156" s="144" t="str">
        <f>INDEX('Pro Forma'!$W$35:$AZ$54,ROW()-ROW('4. Report'!$B$150),'4. Report'!C$148)</f>
        <v/>
      </c>
      <c r="D156" s="140" t="str">
        <f>INDEX('Pro Forma'!$W$35:$AZ$54,ROW()-ROW('4. Report'!$B$150),'4. Report'!D$148)</f>
        <v/>
      </c>
      <c r="E156" s="140" t="str">
        <f>INDEX('Pro Forma'!$W$35:$AZ$54,ROW()-ROW('4. Report'!$B$150),'4. Report'!E$148)</f>
        <v/>
      </c>
      <c r="F156" s="140" t="str">
        <f>INDEX('Pro Forma'!$W$35:$AZ$54,ROW()-ROW('4. Report'!$B$150),'4. Report'!F$148)</f>
        <v/>
      </c>
      <c r="G156" s="140" t="str">
        <f>INDEX('Pro Forma'!$W$35:$AZ$54,ROW()-ROW('4. Report'!$B$150),'4. Report'!G$148)</f>
        <v/>
      </c>
      <c r="H156" s="140" t="str">
        <f>INDEX('Pro Forma'!$W$35:$AZ$54,ROW()-ROW('4. Report'!$B$150),'4. Report'!H$148)</f>
        <v/>
      </c>
      <c r="I156" s="140" t="str">
        <f>INDEX('Pro Forma'!$W$35:$AZ$54,ROW()-ROW('4. Report'!$B$150),'4. Report'!I$148)</f>
        <v/>
      </c>
      <c r="J156" s="140" t="str">
        <f>INDEX('Pro Forma'!$W$35:$AZ$54,ROW()-ROW('4. Report'!$B$150),'4. Report'!J$148)</f>
        <v/>
      </c>
      <c r="K156" s="140" t="str">
        <f>INDEX('Pro Forma'!$W$35:$AZ$54,ROW()-ROW('4. Report'!$B$150),'4. Report'!K$148)</f>
        <v/>
      </c>
      <c r="L156" s="145" t="str">
        <f>INDEX('Pro Forma'!$W$35:$AZ$54,ROW()-ROW('4. Report'!$B$150),'4. Report'!L$148)</f>
        <v/>
      </c>
      <c r="M156" s="235" t="str">
        <f t="shared" si="9"/>
        <v/>
      </c>
    </row>
    <row r="157" spans="1:17" x14ac:dyDescent="0.2">
      <c r="B157" s="232" t="str">
        <f>'3.1 Investor Splits'!I17</f>
        <v/>
      </c>
      <c r="C157" s="144" t="str">
        <f>INDEX('Pro Forma'!$W$35:$AZ$54,ROW()-ROW('4. Report'!$B$150),'4. Report'!C$148)</f>
        <v/>
      </c>
      <c r="D157" s="140" t="str">
        <f>INDEX('Pro Forma'!$W$35:$AZ$54,ROW()-ROW('4. Report'!$B$150),'4. Report'!D$148)</f>
        <v/>
      </c>
      <c r="E157" s="140" t="str">
        <f>INDEX('Pro Forma'!$W$35:$AZ$54,ROW()-ROW('4. Report'!$B$150),'4. Report'!E$148)</f>
        <v/>
      </c>
      <c r="F157" s="140" t="str">
        <f>INDEX('Pro Forma'!$W$35:$AZ$54,ROW()-ROW('4. Report'!$B$150),'4. Report'!F$148)</f>
        <v/>
      </c>
      <c r="G157" s="140" t="str">
        <f>INDEX('Pro Forma'!$W$35:$AZ$54,ROW()-ROW('4. Report'!$B$150),'4. Report'!G$148)</f>
        <v/>
      </c>
      <c r="H157" s="140" t="str">
        <f>INDEX('Pro Forma'!$W$35:$AZ$54,ROW()-ROW('4. Report'!$B$150),'4. Report'!H$148)</f>
        <v/>
      </c>
      <c r="I157" s="140" t="str">
        <f>INDEX('Pro Forma'!$W$35:$AZ$54,ROW()-ROW('4. Report'!$B$150),'4. Report'!I$148)</f>
        <v/>
      </c>
      <c r="J157" s="140" t="str">
        <f>INDEX('Pro Forma'!$W$35:$AZ$54,ROW()-ROW('4. Report'!$B$150),'4. Report'!J$148)</f>
        <v/>
      </c>
      <c r="K157" s="140" t="str">
        <f>INDEX('Pro Forma'!$W$35:$AZ$54,ROW()-ROW('4. Report'!$B$150),'4. Report'!K$148)</f>
        <v/>
      </c>
      <c r="L157" s="145" t="str">
        <f>INDEX('Pro Forma'!$W$35:$AZ$54,ROW()-ROW('4. Report'!$B$150),'4. Report'!L$148)</f>
        <v/>
      </c>
      <c r="M157" s="235" t="str">
        <f t="shared" si="9"/>
        <v/>
      </c>
    </row>
    <row r="158" spans="1:17" x14ac:dyDescent="0.2">
      <c r="B158" s="232" t="str">
        <f>'3.1 Investor Splits'!I18</f>
        <v/>
      </c>
      <c r="C158" s="144" t="str">
        <f>INDEX('Pro Forma'!$W$35:$AZ$54,ROW()-ROW('4. Report'!$B$150),'4. Report'!C$148)</f>
        <v/>
      </c>
      <c r="D158" s="140" t="str">
        <f>INDEX('Pro Forma'!$W$35:$AZ$54,ROW()-ROW('4. Report'!$B$150),'4. Report'!D$148)</f>
        <v/>
      </c>
      <c r="E158" s="140" t="str">
        <f>INDEX('Pro Forma'!$W$35:$AZ$54,ROW()-ROW('4. Report'!$B$150),'4. Report'!E$148)</f>
        <v/>
      </c>
      <c r="F158" s="140" t="str">
        <f>INDEX('Pro Forma'!$W$35:$AZ$54,ROW()-ROW('4. Report'!$B$150),'4. Report'!F$148)</f>
        <v/>
      </c>
      <c r="G158" s="140" t="str">
        <f>INDEX('Pro Forma'!$W$35:$AZ$54,ROW()-ROW('4. Report'!$B$150),'4. Report'!G$148)</f>
        <v/>
      </c>
      <c r="H158" s="140" t="str">
        <f>INDEX('Pro Forma'!$W$35:$AZ$54,ROW()-ROW('4. Report'!$B$150),'4. Report'!H$148)</f>
        <v/>
      </c>
      <c r="I158" s="140" t="str">
        <f>INDEX('Pro Forma'!$W$35:$AZ$54,ROW()-ROW('4. Report'!$B$150),'4. Report'!I$148)</f>
        <v/>
      </c>
      <c r="J158" s="140" t="str">
        <f>INDEX('Pro Forma'!$W$35:$AZ$54,ROW()-ROW('4. Report'!$B$150),'4. Report'!J$148)</f>
        <v/>
      </c>
      <c r="K158" s="140" t="str">
        <f>INDEX('Pro Forma'!$W$35:$AZ$54,ROW()-ROW('4. Report'!$B$150),'4. Report'!K$148)</f>
        <v/>
      </c>
      <c r="L158" s="145" t="str">
        <f>INDEX('Pro Forma'!$W$35:$AZ$54,ROW()-ROW('4. Report'!$B$150),'4. Report'!L$148)</f>
        <v/>
      </c>
      <c r="M158" s="235" t="str">
        <f t="shared" si="9"/>
        <v/>
      </c>
    </row>
    <row r="159" spans="1:17" x14ac:dyDescent="0.2">
      <c r="B159" s="232" t="str">
        <f>'3.1 Investor Splits'!I19</f>
        <v/>
      </c>
      <c r="C159" s="144" t="str">
        <f>INDEX('Pro Forma'!$W$35:$AZ$54,ROW()-ROW('4. Report'!$B$150),'4. Report'!C$148)</f>
        <v/>
      </c>
      <c r="D159" s="140" t="str">
        <f>INDEX('Pro Forma'!$W$35:$AZ$54,ROW()-ROW('4. Report'!$B$150),'4. Report'!D$148)</f>
        <v/>
      </c>
      <c r="E159" s="140" t="str">
        <f>INDEX('Pro Forma'!$W$35:$AZ$54,ROW()-ROW('4. Report'!$B$150),'4. Report'!E$148)</f>
        <v/>
      </c>
      <c r="F159" s="140" t="str">
        <f>INDEX('Pro Forma'!$W$35:$AZ$54,ROW()-ROW('4. Report'!$B$150),'4. Report'!F$148)</f>
        <v/>
      </c>
      <c r="G159" s="140" t="str">
        <f>INDEX('Pro Forma'!$W$35:$AZ$54,ROW()-ROW('4. Report'!$B$150),'4. Report'!G$148)</f>
        <v/>
      </c>
      <c r="H159" s="140" t="str">
        <f>INDEX('Pro Forma'!$W$35:$AZ$54,ROW()-ROW('4. Report'!$B$150),'4. Report'!H$148)</f>
        <v/>
      </c>
      <c r="I159" s="140" t="str">
        <f>INDEX('Pro Forma'!$W$35:$AZ$54,ROW()-ROW('4. Report'!$B$150),'4. Report'!I$148)</f>
        <v/>
      </c>
      <c r="J159" s="140" t="str">
        <f>INDEX('Pro Forma'!$W$35:$AZ$54,ROW()-ROW('4. Report'!$B$150),'4. Report'!J$148)</f>
        <v/>
      </c>
      <c r="K159" s="140" t="str">
        <f>INDEX('Pro Forma'!$W$35:$AZ$54,ROW()-ROW('4. Report'!$B$150),'4. Report'!K$148)</f>
        <v/>
      </c>
      <c r="L159" s="145" t="str">
        <f>INDEX('Pro Forma'!$W$35:$AZ$54,ROW()-ROW('4. Report'!$B$150),'4. Report'!L$148)</f>
        <v/>
      </c>
      <c r="M159" s="235" t="str">
        <f t="shared" si="9"/>
        <v/>
      </c>
    </row>
    <row r="160" spans="1:17" x14ac:dyDescent="0.2">
      <c r="B160" s="232" t="str">
        <f>'3.1 Investor Splits'!I20</f>
        <v/>
      </c>
      <c r="C160" s="144" t="str">
        <f>INDEX('Pro Forma'!$W$35:$AZ$54,ROW()-ROW('4. Report'!$B$150),'4. Report'!C$148)</f>
        <v/>
      </c>
      <c r="D160" s="140" t="str">
        <f>INDEX('Pro Forma'!$W$35:$AZ$54,ROW()-ROW('4. Report'!$B$150),'4. Report'!D$148)</f>
        <v/>
      </c>
      <c r="E160" s="140" t="str">
        <f>INDEX('Pro Forma'!$W$35:$AZ$54,ROW()-ROW('4. Report'!$B$150),'4. Report'!E$148)</f>
        <v/>
      </c>
      <c r="F160" s="140" t="str">
        <f>INDEX('Pro Forma'!$W$35:$AZ$54,ROW()-ROW('4. Report'!$B$150),'4. Report'!F$148)</f>
        <v/>
      </c>
      <c r="G160" s="140" t="str">
        <f>INDEX('Pro Forma'!$W$35:$AZ$54,ROW()-ROW('4. Report'!$B$150),'4. Report'!G$148)</f>
        <v/>
      </c>
      <c r="H160" s="140" t="str">
        <f>INDEX('Pro Forma'!$W$35:$AZ$54,ROW()-ROW('4. Report'!$B$150),'4. Report'!H$148)</f>
        <v/>
      </c>
      <c r="I160" s="140" t="str">
        <f>INDEX('Pro Forma'!$W$35:$AZ$54,ROW()-ROW('4. Report'!$B$150),'4. Report'!I$148)</f>
        <v/>
      </c>
      <c r="J160" s="140" t="str">
        <f>INDEX('Pro Forma'!$W$35:$AZ$54,ROW()-ROW('4. Report'!$B$150),'4. Report'!J$148)</f>
        <v/>
      </c>
      <c r="K160" s="140" t="str">
        <f>INDEX('Pro Forma'!$W$35:$AZ$54,ROW()-ROW('4. Report'!$B$150),'4. Report'!K$148)</f>
        <v/>
      </c>
      <c r="L160" s="145" t="str">
        <f>INDEX('Pro Forma'!$W$35:$AZ$54,ROW()-ROW('4. Report'!$B$150),'4. Report'!L$148)</f>
        <v/>
      </c>
      <c r="M160" s="235" t="str">
        <f t="shared" si="9"/>
        <v/>
      </c>
    </row>
    <row r="161" spans="2:13" x14ac:dyDescent="0.2">
      <c r="B161" s="232" t="str">
        <f>'3.1 Investor Splits'!I21</f>
        <v/>
      </c>
      <c r="C161" s="144" t="str">
        <f>INDEX('Pro Forma'!$W$35:$AZ$54,ROW()-ROW('4. Report'!$B$150),'4. Report'!C$148)</f>
        <v/>
      </c>
      <c r="D161" s="140" t="str">
        <f>INDEX('Pro Forma'!$W$35:$AZ$54,ROW()-ROW('4. Report'!$B$150),'4. Report'!D$148)</f>
        <v/>
      </c>
      <c r="E161" s="140" t="str">
        <f>INDEX('Pro Forma'!$W$35:$AZ$54,ROW()-ROW('4. Report'!$B$150),'4. Report'!E$148)</f>
        <v/>
      </c>
      <c r="F161" s="140" t="str">
        <f>INDEX('Pro Forma'!$W$35:$AZ$54,ROW()-ROW('4. Report'!$B$150),'4. Report'!F$148)</f>
        <v/>
      </c>
      <c r="G161" s="140" t="str">
        <f>INDEX('Pro Forma'!$W$35:$AZ$54,ROW()-ROW('4. Report'!$B$150),'4. Report'!G$148)</f>
        <v/>
      </c>
      <c r="H161" s="140" t="str">
        <f>INDEX('Pro Forma'!$W$35:$AZ$54,ROW()-ROW('4. Report'!$B$150),'4. Report'!H$148)</f>
        <v/>
      </c>
      <c r="I161" s="140" t="str">
        <f>INDEX('Pro Forma'!$W$35:$AZ$54,ROW()-ROW('4. Report'!$B$150),'4. Report'!I$148)</f>
        <v/>
      </c>
      <c r="J161" s="140" t="str">
        <f>INDEX('Pro Forma'!$W$35:$AZ$54,ROW()-ROW('4. Report'!$B$150),'4. Report'!J$148)</f>
        <v/>
      </c>
      <c r="K161" s="140" t="str">
        <f>INDEX('Pro Forma'!$W$35:$AZ$54,ROW()-ROW('4. Report'!$B$150),'4. Report'!K$148)</f>
        <v/>
      </c>
      <c r="L161" s="145" t="str">
        <f>INDEX('Pro Forma'!$W$35:$AZ$54,ROW()-ROW('4. Report'!$B$150),'4. Report'!L$148)</f>
        <v/>
      </c>
      <c r="M161" s="235" t="str">
        <f t="shared" si="9"/>
        <v/>
      </c>
    </row>
    <row r="162" spans="2:13" x14ac:dyDescent="0.2">
      <c r="B162" s="232" t="str">
        <f>'3.1 Investor Splits'!I22</f>
        <v/>
      </c>
      <c r="C162" s="144" t="str">
        <f>INDEX('Pro Forma'!$W$35:$AZ$54,ROW()-ROW('4. Report'!$B$150),'4. Report'!C$148)</f>
        <v/>
      </c>
      <c r="D162" s="140" t="str">
        <f>INDEX('Pro Forma'!$W$35:$AZ$54,ROW()-ROW('4. Report'!$B$150),'4. Report'!D$148)</f>
        <v/>
      </c>
      <c r="E162" s="140" t="str">
        <f>INDEX('Pro Forma'!$W$35:$AZ$54,ROW()-ROW('4. Report'!$B$150),'4. Report'!E$148)</f>
        <v/>
      </c>
      <c r="F162" s="140" t="str">
        <f>INDEX('Pro Forma'!$W$35:$AZ$54,ROW()-ROW('4. Report'!$B$150),'4. Report'!F$148)</f>
        <v/>
      </c>
      <c r="G162" s="140" t="str">
        <f>INDEX('Pro Forma'!$W$35:$AZ$54,ROW()-ROW('4. Report'!$B$150),'4. Report'!G$148)</f>
        <v/>
      </c>
      <c r="H162" s="140" t="str">
        <f>INDEX('Pro Forma'!$W$35:$AZ$54,ROW()-ROW('4. Report'!$B$150),'4. Report'!H$148)</f>
        <v/>
      </c>
      <c r="I162" s="140" t="str">
        <f>INDEX('Pro Forma'!$W$35:$AZ$54,ROW()-ROW('4. Report'!$B$150),'4. Report'!I$148)</f>
        <v/>
      </c>
      <c r="J162" s="140" t="str">
        <f>INDEX('Pro Forma'!$W$35:$AZ$54,ROW()-ROW('4. Report'!$B$150),'4. Report'!J$148)</f>
        <v/>
      </c>
      <c r="K162" s="140" t="str">
        <f>INDEX('Pro Forma'!$W$35:$AZ$54,ROW()-ROW('4. Report'!$B$150),'4. Report'!K$148)</f>
        <v/>
      </c>
      <c r="L162" s="145" t="str">
        <f>INDEX('Pro Forma'!$W$35:$AZ$54,ROW()-ROW('4. Report'!$B$150),'4. Report'!L$148)</f>
        <v/>
      </c>
      <c r="M162" s="235" t="str">
        <f t="shared" si="9"/>
        <v/>
      </c>
    </row>
    <row r="163" spans="2:13" x14ac:dyDescent="0.2">
      <c r="B163" s="232" t="str">
        <f>'3.1 Investor Splits'!I23</f>
        <v/>
      </c>
      <c r="C163" s="144" t="str">
        <f>INDEX('Pro Forma'!$W$35:$AZ$54,ROW()-ROW('4. Report'!$B$150),'4. Report'!C$148)</f>
        <v/>
      </c>
      <c r="D163" s="140" t="str">
        <f>INDEX('Pro Forma'!$W$35:$AZ$54,ROW()-ROW('4. Report'!$B$150),'4. Report'!D$148)</f>
        <v/>
      </c>
      <c r="E163" s="140" t="str">
        <f>INDEX('Pro Forma'!$W$35:$AZ$54,ROW()-ROW('4. Report'!$B$150),'4. Report'!E$148)</f>
        <v/>
      </c>
      <c r="F163" s="140" t="str">
        <f>INDEX('Pro Forma'!$W$35:$AZ$54,ROW()-ROW('4. Report'!$B$150),'4. Report'!F$148)</f>
        <v/>
      </c>
      <c r="G163" s="140" t="str">
        <f>INDEX('Pro Forma'!$W$35:$AZ$54,ROW()-ROW('4. Report'!$B$150),'4. Report'!G$148)</f>
        <v/>
      </c>
      <c r="H163" s="140" t="str">
        <f>INDEX('Pro Forma'!$W$35:$AZ$54,ROW()-ROW('4. Report'!$B$150),'4. Report'!H$148)</f>
        <v/>
      </c>
      <c r="I163" s="140" t="str">
        <f>INDEX('Pro Forma'!$W$35:$AZ$54,ROW()-ROW('4. Report'!$B$150),'4. Report'!I$148)</f>
        <v/>
      </c>
      <c r="J163" s="140" t="str">
        <f>INDEX('Pro Forma'!$W$35:$AZ$54,ROW()-ROW('4. Report'!$B$150),'4. Report'!J$148)</f>
        <v/>
      </c>
      <c r="K163" s="140" t="str">
        <f>INDEX('Pro Forma'!$W$35:$AZ$54,ROW()-ROW('4. Report'!$B$150),'4. Report'!K$148)</f>
        <v/>
      </c>
      <c r="L163" s="145" t="str">
        <f>INDEX('Pro Forma'!$W$35:$AZ$54,ROW()-ROW('4. Report'!$B$150),'4. Report'!L$148)</f>
        <v/>
      </c>
      <c r="M163" s="235" t="str">
        <f t="shared" si="9"/>
        <v/>
      </c>
    </row>
    <row r="164" spans="2:13" x14ac:dyDescent="0.2">
      <c r="B164" s="232" t="str">
        <f>'3.1 Investor Splits'!I24</f>
        <v/>
      </c>
      <c r="C164" s="144" t="str">
        <f>INDEX('Pro Forma'!$W$35:$AZ$54,ROW()-ROW('4. Report'!$B$150),'4. Report'!C$148)</f>
        <v/>
      </c>
      <c r="D164" s="140" t="str">
        <f>INDEX('Pro Forma'!$W$35:$AZ$54,ROW()-ROW('4. Report'!$B$150),'4. Report'!D$148)</f>
        <v/>
      </c>
      <c r="E164" s="140" t="str">
        <f>INDEX('Pro Forma'!$W$35:$AZ$54,ROW()-ROW('4. Report'!$B$150),'4. Report'!E$148)</f>
        <v/>
      </c>
      <c r="F164" s="140" t="str">
        <f>INDEX('Pro Forma'!$W$35:$AZ$54,ROW()-ROW('4. Report'!$B$150),'4. Report'!F$148)</f>
        <v/>
      </c>
      <c r="G164" s="140" t="str">
        <f>INDEX('Pro Forma'!$W$35:$AZ$54,ROW()-ROW('4. Report'!$B$150),'4. Report'!G$148)</f>
        <v/>
      </c>
      <c r="H164" s="140" t="str">
        <f>INDEX('Pro Forma'!$W$35:$AZ$54,ROW()-ROW('4. Report'!$B$150),'4. Report'!H$148)</f>
        <v/>
      </c>
      <c r="I164" s="140" t="str">
        <f>INDEX('Pro Forma'!$W$35:$AZ$54,ROW()-ROW('4. Report'!$B$150),'4. Report'!I$148)</f>
        <v/>
      </c>
      <c r="J164" s="140" t="str">
        <f>INDEX('Pro Forma'!$W$35:$AZ$54,ROW()-ROW('4. Report'!$B$150),'4. Report'!J$148)</f>
        <v/>
      </c>
      <c r="K164" s="140" t="str">
        <f>INDEX('Pro Forma'!$W$35:$AZ$54,ROW()-ROW('4. Report'!$B$150),'4. Report'!K$148)</f>
        <v/>
      </c>
      <c r="L164" s="145" t="str">
        <f>INDEX('Pro Forma'!$W$35:$AZ$54,ROW()-ROW('4. Report'!$B$150),'4. Report'!L$148)</f>
        <v/>
      </c>
      <c r="M164" s="235" t="str">
        <f t="shared" si="9"/>
        <v/>
      </c>
    </row>
    <row r="165" spans="2:13" x14ac:dyDescent="0.2">
      <c r="B165" s="232" t="str">
        <f>'3.1 Investor Splits'!I25</f>
        <v/>
      </c>
      <c r="C165" s="144" t="str">
        <f>INDEX('Pro Forma'!$W$35:$AZ$54,ROW()-ROW('4. Report'!$B$150),'4. Report'!C$148)</f>
        <v/>
      </c>
      <c r="D165" s="140" t="str">
        <f>INDEX('Pro Forma'!$W$35:$AZ$54,ROW()-ROW('4. Report'!$B$150),'4. Report'!D$148)</f>
        <v/>
      </c>
      <c r="E165" s="140" t="str">
        <f>INDEX('Pro Forma'!$W$35:$AZ$54,ROW()-ROW('4. Report'!$B$150),'4. Report'!E$148)</f>
        <v/>
      </c>
      <c r="F165" s="140" t="str">
        <f>INDEX('Pro Forma'!$W$35:$AZ$54,ROW()-ROW('4. Report'!$B$150),'4. Report'!F$148)</f>
        <v/>
      </c>
      <c r="G165" s="140" t="str">
        <f>INDEX('Pro Forma'!$W$35:$AZ$54,ROW()-ROW('4. Report'!$B$150),'4. Report'!G$148)</f>
        <v/>
      </c>
      <c r="H165" s="140" t="str">
        <f>INDEX('Pro Forma'!$W$35:$AZ$54,ROW()-ROW('4. Report'!$B$150),'4. Report'!H$148)</f>
        <v/>
      </c>
      <c r="I165" s="140" t="str">
        <f>INDEX('Pro Forma'!$W$35:$AZ$54,ROW()-ROW('4. Report'!$B$150),'4. Report'!I$148)</f>
        <v/>
      </c>
      <c r="J165" s="140" t="str">
        <f>INDEX('Pro Forma'!$W$35:$AZ$54,ROW()-ROW('4. Report'!$B$150),'4. Report'!J$148)</f>
        <v/>
      </c>
      <c r="K165" s="140" t="str">
        <f>INDEX('Pro Forma'!$W$35:$AZ$54,ROW()-ROW('4. Report'!$B$150),'4. Report'!K$148)</f>
        <v/>
      </c>
      <c r="L165" s="145" t="str">
        <f>INDEX('Pro Forma'!$W$35:$AZ$54,ROW()-ROW('4. Report'!$B$150),'4. Report'!L$148)</f>
        <v/>
      </c>
      <c r="M165" s="235" t="str">
        <f t="shared" si="9"/>
        <v/>
      </c>
    </row>
    <row r="166" spans="2:13" x14ac:dyDescent="0.2">
      <c r="B166" s="232" t="str">
        <f>'3.1 Investor Splits'!I26</f>
        <v/>
      </c>
      <c r="C166" s="144" t="str">
        <f>INDEX('Pro Forma'!$W$35:$AZ$54,ROW()-ROW('4. Report'!$B$150),'4. Report'!C$148)</f>
        <v/>
      </c>
      <c r="D166" s="140" t="str">
        <f>INDEX('Pro Forma'!$W$35:$AZ$54,ROW()-ROW('4. Report'!$B$150),'4. Report'!D$148)</f>
        <v/>
      </c>
      <c r="E166" s="140" t="str">
        <f>INDEX('Pro Forma'!$W$35:$AZ$54,ROW()-ROW('4. Report'!$B$150),'4. Report'!E$148)</f>
        <v/>
      </c>
      <c r="F166" s="140" t="str">
        <f>INDEX('Pro Forma'!$W$35:$AZ$54,ROW()-ROW('4. Report'!$B$150),'4. Report'!F$148)</f>
        <v/>
      </c>
      <c r="G166" s="140" t="str">
        <f>INDEX('Pro Forma'!$W$35:$AZ$54,ROW()-ROW('4. Report'!$B$150),'4. Report'!G$148)</f>
        <v/>
      </c>
      <c r="H166" s="140" t="str">
        <f>INDEX('Pro Forma'!$W$35:$AZ$54,ROW()-ROW('4. Report'!$B$150),'4. Report'!H$148)</f>
        <v/>
      </c>
      <c r="I166" s="140" t="str">
        <f>INDEX('Pro Forma'!$W$35:$AZ$54,ROW()-ROW('4. Report'!$B$150),'4. Report'!I$148)</f>
        <v/>
      </c>
      <c r="J166" s="140" t="str">
        <f>INDEX('Pro Forma'!$W$35:$AZ$54,ROW()-ROW('4. Report'!$B$150),'4. Report'!J$148)</f>
        <v/>
      </c>
      <c r="K166" s="140" t="str">
        <f>INDEX('Pro Forma'!$W$35:$AZ$54,ROW()-ROW('4. Report'!$B$150),'4. Report'!K$148)</f>
        <v/>
      </c>
      <c r="L166" s="145" t="str">
        <f>INDEX('Pro Forma'!$W$35:$AZ$54,ROW()-ROW('4. Report'!$B$150),'4. Report'!L$148)</f>
        <v/>
      </c>
      <c r="M166" s="235" t="str">
        <f t="shared" si="9"/>
        <v/>
      </c>
    </row>
    <row r="167" spans="2:13" x14ac:dyDescent="0.2">
      <c r="B167" s="232" t="str">
        <f>'3.1 Investor Splits'!I27</f>
        <v/>
      </c>
      <c r="C167" s="144" t="str">
        <f>INDEX('Pro Forma'!$W$35:$AZ$54,ROW()-ROW('4. Report'!$B$150),'4. Report'!C$148)</f>
        <v/>
      </c>
      <c r="D167" s="140" t="str">
        <f>INDEX('Pro Forma'!$W$35:$AZ$54,ROW()-ROW('4. Report'!$B$150),'4. Report'!D$148)</f>
        <v/>
      </c>
      <c r="E167" s="140" t="str">
        <f>INDEX('Pro Forma'!$W$35:$AZ$54,ROW()-ROW('4. Report'!$B$150),'4. Report'!E$148)</f>
        <v/>
      </c>
      <c r="F167" s="140" t="str">
        <f>INDEX('Pro Forma'!$W$35:$AZ$54,ROW()-ROW('4. Report'!$B$150),'4. Report'!F$148)</f>
        <v/>
      </c>
      <c r="G167" s="140" t="str">
        <f>INDEX('Pro Forma'!$W$35:$AZ$54,ROW()-ROW('4. Report'!$B$150),'4. Report'!G$148)</f>
        <v/>
      </c>
      <c r="H167" s="140" t="str">
        <f>INDEX('Pro Forma'!$W$35:$AZ$54,ROW()-ROW('4. Report'!$B$150),'4. Report'!H$148)</f>
        <v/>
      </c>
      <c r="I167" s="140" t="str">
        <f>INDEX('Pro Forma'!$W$35:$AZ$54,ROW()-ROW('4. Report'!$B$150),'4. Report'!I$148)</f>
        <v/>
      </c>
      <c r="J167" s="140" t="str">
        <f>INDEX('Pro Forma'!$W$35:$AZ$54,ROW()-ROW('4. Report'!$B$150),'4. Report'!J$148)</f>
        <v/>
      </c>
      <c r="K167" s="140" t="str">
        <f>INDEX('Pro Forma'!$W$35:$AZ$54,ROW()-ROW('4. Report'!$B$150),'4. Report'!K$148)</f>
        <v/>
      </c>
      <c r="L167" s="145" t="str">
        <f>INDEX('Pro Forma'!$W$35:$AZ$54,ROW()-ROW('4. Report'!$B$150),'4. Report'!L$148)</f>
        <v/>
      </c>
      <c r="M167" s="235" t="str">
        <f t="shared" si="9"/>
        <v/>
      </c>
    </row>
    <row r="168" spans="2:13" x14ac:dyDescent="0.2">
      <c r="B168" s="232" t="str">
        <f>'3.1 Investor Splits'!I28</f>
        <v/>
      </c>
      <c r="C168" s="144" t="str">
        <f>INDEX('Pro Forma'!$W$35:$AZ$54,ROW()-ROW('4. Report'!$B$150),'4. Report'!C$148)</f>
        <v/>
      </c>
      <c r="D168" s="140" t="str">
        <f>INDEX('Pro Forma'!$W$35:$AZ$54,ROW()-ROW('4. Report'!$B$150),'4. Report'!D$148)</f>
        <v/>
      </c>
      <c r="E168" s="140" t="str">
        <f>INDEX('Pro Forma'!$W$35:$AZ$54,ROW()-ROW('4. Report'!$B$150),'4. Report'!E$148)</f>
        <v/>
      </c>
      <c r="F168" s="140" t="str">
        <f>INDEX('Pro Forma'!$W$35:$AZ$54,ROW()-ROW('4. Report'!$B$150),'4. Report'!F$148)</f>
        <v/>
      </c>
      <c r="G168" s="140" t="str">
        <f>INDEX('Pro Forma'!$W$35:$AZ$54,ROW()-ROW('4. Report'!$B$150),'4. Report'!G$148)</f>
        <v/>
      </c>
      <c r="H168" s="140" t="str">
        <f>INDEX('Pro Forma'!$W$35:$AZ$54,ROW()-ROW('4. Report'!$B$150),'4. Report'!H$148)</f>
        <v/>
      </c>
      <c r="I168" s="140" t="str">
        <f>INDEX('Pro Forma'!$W$35:$AZ$54,ROW()-ROW('4. Report'!$B$150),'4. Report'!I$148)</f>
        <v/>
      </c>
      <c r="J168" s="140" t="str">
        <f>INDEX('Pro Forma'!$W$35:$AZ$54,ROW()-ROW('4. Report'!$B$150),'4. Report'!J$148)</f>
        <v/>
      </c>
      <c r="K168" s="140" t="str">
        <f>INDEX('Pro Forma'!$W$35:$AZ$54,ROW()-ROW('4. Report'!$B$150),'4. Report'!K$148)</f>
        <v/>
      </c>
      <c r="L168" s="145" t="str">
        <f>INDEX('Pro Forma'!$W$35:$AZ$54,ROW()-ROW('4. Report'!$B$150),'4. Report'!L$148)</f>
        <v/>
      </c>
      <c r="M168" s="235" t="str">
        <f t="shared" si="9"/>
        <v/>
      </c>
    </row>
    <row r="169" spans="2:13" x14ac:dyDescent="0.2">
      <c r="B169" s="232" t="str">
        <f>'3.1 Investor Splits'!I29</f>
        <v/>
      </c>
      <c r="C169" s="144" t="str">
        <f>INDEX('Pro Forma'!$W$35:$AZ$54,ROW()-ROW('4. Report'!$B$150),'4. Report'!C$148)</f>
        <v/>
      </c>
      <c r="D169" s="140" t="str">
        <f>INDEX('Pro Forma'!$W$35:$AZ$54,ROW()-ROW('4. Report'!$B$150),'4. Report'!D$148)</f>
        <v/>
      </c>
      <c r="E169" s="140" t="str">
        <f>INDEX('Pro Forma'!$W$35:$AZ$54,ROW()-ROW('4. Report'!$B$150),'4. Report'!E$148)</f>
        <v/>
      </c>
      <c r="F169" s="140" t="str">
        <f>INDEX('Pro Forma'!$W$35:$AZ$54,ROW()-ROW('4. Report'!$B$150),'4. Report'!F$148)</f>
        <v/>
      </c>
      <c r="G169" s="140" t="str">
        <f>INDEX('Pro Forma'!$W$35:$AZ$54,ROW()-ROW('4. Report'!$B$150),'4. Report'!G$148)</f>
        <v/>
      </c>
      <c r="H169" s="140" t="str">
        <f>INDEX('Pro Forma'!$W$35:$AZ$54,ROW()-ROW('4. Report'!$B$150),'4. Report'!H$148)</f>
        <v/>
      </c>
      <c r="I169" s="140" t="str">
        <f>INDEX('Pro Forma'!$W$35:$AZ$54,ROW()-ROW('4. Report'!$B$150),'4. Report'!I$148)</f>
        <v/>
      </c>
      <c r="J169" s="140" t="str">
        <f>INDEX('Pro Forma'!$W$35:$AZ$54,ROW()-ROW('4. Report'!$B$150),'4. Report'!J$148)</f>
        <v/>
      </c>
      <c r="K169" s="140" t="str">
        <f>INDEX('Pro Forma'!$W$35:$AZ$54,ROW()-ROW('4. Report'!$B$150),'4. Report'!K$148)</f>
        <v/>
      </c>
      <c r="L169" s="145" t="str">
        <f>INDEX('Pro Forma'!$W$35:$AZ$54,ROW()-ROW('4. Report'!$B$150),'4. Report'!L$148)</f>
        <v/>
      </c>
      <c r="M169" s="235" t="str">
        <f t="shared" si="9"/>
        <v/>
      </c>
    </row>
    <row r="170" spans="2:13" x14ac:dyDescent="0.2">
      <c r="B170" s="233" t="str">
        <f>'3.1 Investor Splits'!I30</f>
        <v/>
      </c>
      <c r="C170" s="146" t="str">
        <f>INDEX('Pro Forma'!$W$35:$AZ$54,ROW()-ROW('4. Report'!$B$150),'4. Report'!C$148)</f>
        <v/>
      </c>
      <c r="D170" s="147" t="str">
        <f>INDEX('Pro Forma'!$W$35:$AZ$54,ROW()-ROW('4. Report'!$B$150),'4. Report'!D$148)</f>
        <v/>
      </c>
      <c r="E170" s="147" t="str">
        <f>INDEX('Pro Forma'!$W$35:$AZ$54,ROW()-ROW('4. Report'!$B$150),'4. Report'!E$148)</f>
        <v/>
      </c>
      <c r="F170" s="147" t="str">
        <f>INDEX('Pro Forma'!$W$35:$AZ$54,ROW()-ROW('4. Report'!$B$150),'4. Report'!F$148)</f>
        <v/>
      </c>
      <c r="G170" s="147" t="str">
        <f>INDEX('Pro Forma'!$W$35:$AZ$54,ROW()-ROW('4. Report'!$B$150),'4. Report'!G$148)</f>
        <v/>
      </c>
      <c r="H170" s="147" t="str">
        <f>INDEX('Pro Forma'!$W$35:$AZ$54,ROW()-ROW('4. Report'!$B$150),'4. Report'!H$148)</f>
        <v/>
      </c>
      <c r="I170" s="147" t="str">
        <f>INDEX('Pro Forma'!$W$35:$AZ$54,ROW()-ROW('4. Report'!$B$150),'4. Report'!I$148)</f>
        <v/>
      </c>
      <c r="J170" s="147" t="str">
        <f>INDEX('Pro Forma'!$W$35:$AZ$54,ROW()-ROW('4. Report'!$B$150),'4. Report'!J$148)</f>
        <v/>
      </c>
      <c r="K170" s="147" t="str">
        <f>INDEX('Pro Forma'!$W$35:$AZ$54,ROW()-ROW('4. Report'!$B$150),'4. Report'!K$148)</f>
        <v/>
      </c>
      <c r="L170" s="148" t="str">
        <f>INDEX('Pro Forma'!$W$35:$AZ$54,ROW()-ROW('4. Report'!$B$150),'4. Report'!L$148)</f>
        <v/>
      </c>
      <c r="M170" s="235" t="str">
        <f t="shared" si="9"/>
        <v/>
      </c>
    </row>
    <row r="172" spans="2:13" x14ac:dyDescent="0.2">
      <c r="C172" s="133">
        <v>1</v>
      </c>
      <c r="D172" s="134">
        <v>2</v>
      </c>
      <c r="E172" s="134">
        <v>3</v>
      </c>
      <c r="F172" s="134">
        <v>4</v>
      </c>
      <c r="G172" s="134">
        <v>5</v>
      </c>
      <c r="H172" s="134">
        <v>10</v>
      </c>
      <c r="I172" s="134">
        <v>15</v>
      </c>
      <c r="J172" s="134">
        <v>20</v>
      </c>
      <c r="K172" s="134">
        <v>25</v>
      </c>
      <c r="L172" s="135">
        <v>30</v>
      </c>
    </row>
    <row r="173" spans="2:13" ht="16" x14ac:dyDescent="0.2">
      <c r="B173" s="136" t="s">
        <v>152</v>
      </c>
      <c r="C173" s="150">
        <f>C149</f>
        <v>5982</v>
      </c>
      <c r="D173" s="137">
        <f>D149</f>
        <v>6101.64</v>
      </c>
      <c r="E173" s="137">
        <f t="shared" ref="E173:L173" si="10">E149</f>
        <v>6223.6728000000012</v>
      </c>
      <c r="F173" s="137">
        <f t="shared" si="10"/>
        <v>6348.146256</v>
      </c>
      <c r="G173" s="137">
        <f t="shared" si="10"/>
        <v>6475.1091811199994</v>
      </c>
      <c r="H173" s="137">
        <f t="shared" si="10"/>
        <v>7149.0437454986632</v>
      </c>
      <c r="I173" s="137">
        <f t="shared" si="10"/>
        <v>7893.1219606421009</v>
      </c>
      <c r="J173" s="137">
        <f t="shared" si="10"/>
        <v>8714.644434061287</v>
      </c>
      <c r="K173" s="137">
        <f t="shared" si="10"/>
        <v>9621.6716263607959</v>
      </c>
      <c r="L173" s="138">
        <f t="shared" si="10"/>
        <v>10623.102937359079</v>
      </c>
    </row>
    <row r="174" spans="2:13" x14ac:dyDescent="0.2">
      <c r="B174" s="149" t="s">
        <v>153</v>
      </c>
      <c r="C174" s="435" t="s">
        <v>155</v>
      </c>
      <c r="D174" s="435"/>
      <c r="E174" s="435"/>
      <c r="F174" s="435"/>
      <c r="G174" s="435"/>
      <c r="H174" s="435"/>
      <c r="I174" s="435"/>
      <c r="J174" s="435"/>
      <c r="K174" s="435"/>
      <c r="L174" s="436"/>
    </row>
    <row r="175" spans="2:13" x14ac:dyDescent="0.2">
      <c r="B175" s="232" t="str">
        <f>B151</f>
        <v>GP</v>
      </c>
      <c r="C175" s="238" t="str">
        <f>IF(B175="","",IF(AND($B175="GP",'3.1 Investor Splits'!$F$11="No"),"-",SUM('Pro Forma'!$W35:INDEX('Pro Forma'!$W35:$AZ35,1,'4. Report'!C$172))/'3.1 Investor Splits'!$K11))</f>
        <v>-</v>
      </c>
      <c r="D175" s="239" t="str">
        <f>IF(C175="","",IF(AND($B175="GP",'3.1 Investor Splits'!$F$11="No"),"-",SUM('Pro Forma'!$W35:INDEX('Pro Forma'!$W35:$AZ35,1,'4. Report'!D$172))/'3.1 Investor Splits'!$K11))</f>
        <v>-</v>
      </c>
      <c r="E175" s="239" t="str">
        <f>IF(D175="","",IF(AND($B175="GP",'3.1 Investor Splits'!$F$11="No"),"-",SUM('Pro Forma'!$W35:INDEX('Pro Forma'!$W35:$AZ35,1,'4. Report'!E$172))/'3.1 Investor Splits'!$K11))</f>
        <v>-</v>
      </c>
      <c r="F175" s="239" t="str">
        <f>IF(E175="","",IF(AND($B175="GP",'3.1 Investor Splits'!$F$11="No"),"-",SUM('Pro Forma'!$W35:INDEX('Pro Forma'!$W35:$AZ35,1,'4. Report'!F$172))/'3.1 Investor Splits'!$K11))</f>
        <v>-</v>
      </c>
      <c r="G175" s="239" t="str">
        <f>IF(F175="","",IF(AND($B175="GP",'3.1 Investor Splits'!$F$11="No"),"-",SUM('Pro Forma'!$W35:INDEX('Pro Forma'!$W35:$AZ35,1,'4. Report'!G$172))/'3.1 Investor Splits'!$K11))</f>
        <v>-</v>
      </c>
      <c r="H175" s="239" t="str">
        <f>IF(G175="","",IF(AND($B175="GP",'3.1 Investor Splits'!$F$11="No"),"-",SUM('Pro Forma'!$W35:INDEX('Pro Forma'!$W35:$AZ35,1,'4. Report'!H$172))/'3.1 Investor Splits'!$K11))</f>
        <v>-</v>
      </c>
      <c r="I175" s="239" t="str">
        <f>IF(H175="","",IF(AND($B175="GP",'3.1 Investor Splits'!$F$11="No"),"-",SUM('Pro Forma'!$W35:INDEX('Pro Forma'!$W35:$AZ35,1,'4. Report'!I$172))/'3.1 Investor Splits'!$K11))</f>
        <v>-</v>
      </c>
      <c r="J175" s="239" t="str">
        <f>IF(I175="","",IF(AND($B175="GP",'3.1 Investor Splits'!$F$11="No"),"-",SUM('Pro Forma'!$W35:INDEX('Pro Forma'!$W35:$AZ35,1,'4. Report'!J$172))/'3.1 Investor Splits'!$K11))</f>
        <v>-</v>
      </c>
      <c r="K175" s="239" t="str">
        <f>IF(J175="","",IF(AND($B175="GP",'3.1 Investor Splits'!$F$11="No"),"-",SUM('Pro Forma'!$W35:INDEX('Pro Forma'!$W35:$AZ35,1,'4. Report'!K$172))/'3.1 Investor Splits'!$K11))</f>
        <v>-</v>
      </c>
      <c r="L175" s="240" t="str">
        <f>IF(K175="","",IF(AND($B175="GP",'3.1 Investor Splits'!$F$11="No"),"-",SUM('Pro Forma'!$W35:INDEX('Pro Forma'!$W35:$AZ35,1,'4. Report'!L$172))/'3.1 Investor Splits'!$K11))</f>
        <v>-</v>
      </c>
    </row>
    <row r="176" spans="2:13" x14ac:dyDescent="0.2">
      <c r="B176" s="232" t="str">
        <f t="shared" ref="B176:B194" si="11">B152</f>
        <v>Investor 1</v>
      </c>
      <c r="C176" s="241">
        <f>IF(B176="","",IF(AND($B176="GP",'3.1 Investor Splits'!$F$11="No"),"-",SUM('Pro Forma'!$W36:INDEX('Pro Forma'!$W36:$AZ36,1,'4. Report'!C$172))/'3.1 Investor Splits'!$K12))</f>
        <v>4.7855999999999996E-2</v>
      </c>
      <c r="D176" s="151">
        <f>IF(C176="","",IF(AND($B176="GP",'3.1 Investor Splits'!$F$11="No"),"-",SUM('Pro Forma'!$W36:INDEX('Pro Forma'!$W36:$AZ36,1,'4. Report'!D$172))/'3.1 Investor Splits'!$K12))</f>
        <v>9.6669119999999983E-2</v>
      </c>
      <c r="E176" s="151">
        <f>IF(D176="","",IF(AND($B176="GP",'3.1 Investor Splits'!$F$11="No"),"-",SUM('Pro Forma'!$W36:INDEX('Pro Forma'!$W36:$AZ36,1,'4. Report'!E$172))/'3.1 Investor Splits'!$K12))</f>
        <v>0.1464585024</v>
      </c>
      <c r="F176" s="151">
        <f>IF(E176="","",IF(AND($B176="GP",'3.1 Investor Splits'!$F$11="No"),"-",SUM('Pro Forma'!$W36:INDEX('Pro Forma'!$W36:$AZ36,1,'4. Report'!F$172))/'3.1 Investor Splits'!$K12))</f>
        <v>0.19724367244800001</v>
      </c>
      <c r="G176" s="151">
        <f>IF(F176="","",IF(AND($B176="GP",'3.1 Investor Splits'!$F$11="No"),"-",SUM('Pro Forma'!$W36:INDEX('Pro Forma'!$W36:$AZ36,1,'4. Report'!G$172))/'3.1 Investor Splits'!$K12))</f>
        <v>0.24904454589695998</v>
      </c>
      <c r="H176" s="151">
        <f>IF(G176="","",IF(AND($B176="GP",'3.1 Investor Splits'!$F$11="No"),"-",SUM('Pro Forma'!$W36:INDEX('Pro Forma'!$W36:$AZ36,1,'4. Report'!H$172))/'3.1 Investor Splits'!$K12))</f>
        <v>0.52400984816345475</v>
      </c>
      <c r="I176" s="151">
        <f>IF(H176="","",IF(AND($B176="GP",'3.1 Investor Splits'!$F$11="No"),"-",SUM('Pro Forma'!$W36:INDEX('Pro Forma'!$W36:$AZ36,1,'4. Report'!I$172))/'3.1 Investor Splits'!$K12))</f>
        <v>0.82759375994197726</v>
      </c>
      <c r="J176" s="151">
        <f>IF(I176="","",IF(AND($B176="GP",'3.1 Investor Splits'!$F$11="No"),"-",SUM('Pro Forma'!$W36:INDEX('Pro Forma'!$W36:$AZ36,1,'4. Report'!J$172))/'3.1 Investor Splits'!$K12))</f>
        <v>1.1627749290970062</v>
      </c>
      <c r="K176" s="151">
        <f>IF(J176="","",IF(AND($B176="GP",'3.1 Investor Splits'!$F$11="No"),"-",SUM('Pro Forma'!$W36:INDEX('Pro Forma'!$W36:$AZ36,1,'4. Report'!K$172))/'3.1 Investor Splits'!$K12))</f>
        <v>1.5328420235552054</v>
      </c>
      <c r="L176" s="152">
        <f>IF(K176="","",IF(AND($B176="GP",'3.1 Investor Splits'!$F$11="No"),"-",SUM('Pro Forma'!$W36:INDEX('Pro Forma'!$W36:$AZ36,1,'4. Report'!L$172))/'3.1 Investor Splits'!$K12))</f>
        <v>1.9414259984425046</v>
      </c>
    </row>
    <row r="177" spans="2:12" x14ac:dyDescent="0.2">
      <c r="B177" s="232" t="str">
        <f t="shared" si="11"/>
        <v/>
      </c>
      <c r="C177" s="241" t="str">
        <f>IF(B177="","",IF(AND($B177="GP",'3.1 Investor Splits'!$F$11="No"),"-",SUM('Pro Forma'!$W37:INDEX('Pro Forma'!$W37:$AZ37,1,'4. Report'!C$172))/'3.1 Investor Splits'!$K13))</f>
        <v/>
      </c>
      <c r="D177" s="151" t="str">
        <f>IF(C177="","",IF(AND($B177="GP",'3.1 Investor Splits'!$F$11="No"),"-",SUM('Pro Forma'!$W37:INDEX('Pro Forma'!$W37:$AZ37,1,'4. Report'!D$172))/'3.1 Investor Splits'!$K13))</f>
        <v/>
      </c>
      <c r="E177" s="151" t="str">
        <f>IF(D177="","",IF(AND($B177="GP",'3.1 Investor Splits'!$F$11="No"),"-",SUM('Pro Forma'!$W37:INDEX('Pro Forma'!$W37:$AZ37,1,'4. Report'!E$172))/'3.1 Investor Splits'!$K13))</f>
        <v/>
      </c>
      <c r="F177" s="151" t="str">
        <f>IF(E177="","",IF(AND($B177="GP",'3.1 Investor Splits'!$F$11="No"),"-",SUM('Pro Forma'!$W37:INDEX('Pro Forma'!$W37:$AZ37,1,'4. Report'!F$172))/'3.1 Investor Splits'!$K13))</f>
        <v/>
      </c>
      <c r="G177" s="151" t="str">
        <f>IF(F177="","",IF(AND($B177="GP",'3.1 Investor Splits'!$F$11="No"),"-",SUM('Pro Forma'!$W37:INDEX('Pro Forma'!$W37:$AZ37,1,'4. Report'!G$172))/'3.1 Investor Splits'!$K13))</f>
        <v/>
      </c>
      <c r="H177" s="151" t="str">
        <f>IF(G177="","",IF(AND($B177="GP",'3.1 Investor Splits'!$F$11="No"),"-",SUM('Pro Forma'!$W37:INDEX('Pro Forma'!$W37:$AZ37,1,'4. Report'!H$172))/'3.1 Investor Splits'!$K13))</f>
        <v/>
      </c>
      <c r="I177" s="151" t="str">
        <f>IF(H177="","",IF(AND($B177="GP",'3.1 Investor Splits'!$F$11="No"),"-",SUM('Pro Forma'!$W37:INDEX('Pro Forma'!$W37:$AZ37,1,'4. Report'!I$172))/'3.1 Investor Splits'!$K13))</f>
        <v/>
      </c>
      <c r="J177" s="151" t="str">
        <f>IF(I177="","",IF(AND($B177="GP",'3.1 Investor Splits'!$F$11="No"),"-",SUM('Pro Forma'!$W37:INDEX('Pro Forma'!$W37:$AZ37,1,'4. Report'!J$172))/'3.1 Investor Splits'!$K13))</f>
        <v/>
      </c>
      <c r="K177" s="151" t="str">
        <f>IF(J177="","",IF(AND($B177="GP",'3.1 Investor Splits'!$F$11="No"),"-",SUM('Pro Forma'!$W37:INDEX('Pro Forma'!$W37:$AZ37,1,'4. Report'!K$172))/'3.1 Investor Splits'!$K13))</f>
        <v/>
      </c>
      <c r="L177" s="152" t="str">
        <f>IF(K177="","",IF(AND($B177="GP",'3.1 Investor Splits'!$F$11="No"),"-",SUM('Pro Forma'!$W37:INDEX('Pro Forma'!$W37:$AZ37,1,'4. Report'!L$172))/'3.1 Investor Splits'!$K13))</f>
        <v/>
      </c>
    </row>
    <row r="178" spans="2:12" x14ac:dyDescent="0.2">
      <c r="B178" s="232" t="str">
        <f t="shared" si="11"/>
        <v/>
      </c>
      <c r="C178" s="241" t="str">
        <f>IF(B178="","",IF(AND($B178="GP",'3.1 Investor Splits'!$F$11="No"),"-",SUM('Pro Forma'!$W38:INDEX('Pro Forma'!$W38:$AZ38,1,'4. Report'!C$172))/'3.1 Investor Splits'!$K14))</f>
        <v/>
      </c>
      <c r="D178" s="151" t="str">
        <f>IF(C178="","",IF(AND($B178="GP",'3.1 Investor Splits'!$F$11="No"),"-",SUM('Pro Forma'!$W38:INDEX('Pro Forma'!$W38:$AZ38,1,'4. Report'!D$172))/'3.1 Investor Splits'!$K14))</f>
        <v/>
      </c>
      <c r="E178" s="151" t="str">
        <f>IF(D178="","",IF(AND($B178="GP",'3.1 Investor Splits'!$F$11="No"),"-",SUM('Pro Forma'!$W38:INDEX('Pro Forma'!$W38:$AZ38,1,'4. Report'!E$172))/'3.1 Investor Splits'!$K14))</f>
        <v/>
      </c>
      <c r="F178" s="151" t="str">
        <f>IF(E178="","",IF(AND($B178="GP",'3.1 Investor Splits'!$F$11="No"),"-",SUM('Pro Forma'!$W38:INDEX('Pro Forma'!$W38:$AZ38,1,'4. Report'!F$172))/'3.1 Investor Splits'!$K14))</f>
        <v/>
      </c>
      <c r="G178" s="151" t="str">
        <f>IF(F178="","",IF(AND($B178="GP",'3.1 Investor Splits'!$F$11="No"),"-",SUM('Pro Forma'!$W38:INDEX('Pro Forma'!$W38:$AZ38,1,'4. Report'!G$172))/'3.1 Investor Splits'!$K14))</f>
        <v/>
      </c>
      <c r="H178" s="151" t="str">
        <f>IF(G178="","",IF(AND($B178="GP",'3.1 Investor Splits'!$F$11="No"),"-",SUM('Pro Forma'!$W38:INDEX('Pro Forma'!$W38:$AZ38,1,'4. Report'!H$172))/'3.1 Investor Splits'!$K14))</f>
        <v/>
      </c>
      <c r="I178" s="151" t="str">
        <f>IF(H178="","",IF(AND($B178="GP",'3.1 Investor Splits'!$F$11="No"),"-",SUM('Pro Forma'!$W38:INDEX('Pro Forma'!$W38:$AZ38,1,'4. Report'!I$172))/'3.1 Investor Splits'!$K14))</f>
        <v/>
      </c>
      <c r="J178" s="151" t="str">
        <f>IF(I178="","",IF(AND($B178="GP",'3.1 Investor Splits'!$F$11="No"),"-",SUM('Pro Forma'!$W38:INDEX('Pro Forma'!$W38:$AZ38,1,'4. Report'!J$172))/'3.1 Investor Splits'!$K14))</f>
        <v/>
      </c>
      <c r="K178" s="151" t="str">
        <f>IF(J178="","",IF(AND($B178="GP",'3.1 Investor Splits'!$F$11="No"),"-",SUM('Pro Forma'!$W38:INDEX('Pro Forma'!$W38:$AZ38,1,'4. Report'!K$172))/'3.1 Investor Splits'!$K14))</f>
        <v/>
      </c>
      <c r="L178" s="152" t="str">
        <f>IF(K178="","",IF(AND($B178="GP",'3.1 Investor Splits'!$F$11="No"),"-",SUM('Pro Forma'!$W38:INDEX('Pro Forma'!$W38:$AZ38,1,'4. Report'!L$172))/'3.1 Investor Splits'!$K14))</f>
        <v/>
      </c>
    </row>
    <row r="179" spans="2:12" x14ac:dyDescent="0.2">
      <c r="B179" s="232" t="str">
        <f t="shared" si="11"/>
        <v/>
      </c>
      <c r="C179" s="241" t="str">
        <f>IF(B179="","",IF(AND($B179="GP",'3.1 Investor Splits'!$F$11="No"),"-",SUM('Pro Forma'!$W39:INDEX('Pro Forma'!$W39:$AZ39,1,'4. Report'!C$172))/'3.1 Investor Splits'!$K15))</f>
        <v/>
      </c>
      <c r="D179" s="151" t="str">
        <f>IF(C179="","",IF(AND($B179="GP",'3.1 Investor Splits'!$F$11="No"),"-",SUM('Pro Forma'!$W39:INDEX('Pro Forma'!$W39:$AZ39,1,'4. Report'!D$172))/'3.1 Investor Splits'!$K15))</f>
        <v/>
      </c>
      <c r="E179" s="151" t="str">
        <f>IF(D179="","",IF(AND($B179="GP",'3.1 Investor Splits'!$F$11="No"),"-",SUM('Pro Forma'!$W39:INDEX('Pro Forma'!$W39:$AZ39,1,'4. Report'!E$172))/'3.1 Investor Splits'!$K15))</f>
        <v/>
      </c>
      <c r="F179" s="151" t="str">
        <f>IF(E179="","",IF(AND($B179="GP",'3.1 Investor Splits'!$F$11="No"),"-",SUM('Pro Forma'!$W39:INDEX('Pro Forma'!$W39:$AZ39,1,'4. Report'!F$172))/'3.1 Investor Splits'!$K15))</f>
        <v/>
      </c>
      <c r="G179" s="151" t="str">
        <f>IF(F179="","",IF(AND($B179="GP",'3.1 Investor Splits'!$F$11="No"),"-",SUM('Pro Forma'!$W39:INDEX('Pro Forma'!$W39:$AZ39,1,'4. Report'!G$172))/'3.1 Investor Splits'!$K15))</f>
        <v/>
      </c>
      <c r="H179" s="151" t="str">
        <f>IF(G179="","",IF(AND($B179="GP",'3.1 Investor Splits'!$F$11="No"),"-",SUM('Pro Forma'!$W39:INDEX('Pro Forma'!$W39:$AZ39,1,'4. Report'!H$172))/'3.1 Investor Splits'!$K15))</f>
        <v/>
      </c>
      <c r="I179" s="151" t="str">
        <f>IF(H179="","",IF(AND($B179="GP",'3.1 Investor Splits'!$F$11="No"),"-",SUM('Pro Forma'!$W39:INDEX('Pro Forma'!$W39:$AZ39,1,'4. Report'!I$172))/'3.1 Investor Splits'!$K15))</f>
        <v/>
      </c>
      <c r="J179" s="151" t="str">
        <f>IF(I179="","",IF(AND($B179="GP",'3.1 Investor Splits'!$F$11="No"),"-",SUM('Pro Forma'!$W39:INDEX('Pro Forma'!$W39:$AZ39,1,'4. Report'!J$172))/'3.1 Investor Splits'!$K15))</f>
        <v/>
      </c>
      <c r="K179" s="151" t="str">
        <f>IF(J179="","",IF(AND($B179="GP",'3.1 Investor Splits'!$F$11="No"),"-",SUM('Pro Forma'!$W39:INDEX('Pro Forma'!$W39:$AZ39,1,'4. Report'!K$172))/'3.1 Investor Splits'!$K15))</f>
        <v/>
      </c>
      <c r="L179" s="152" t="str">
        <f>IF(K179="","",IF(AND($B179="GP",'3.1 Investor Splits'!$F$11="No"),"-",SUM('Pro Forma'!$W39:INDEX('Pro Forma'!$W39:$AZ39,1,'4. Report'!L$172))/'3.1 Investor Splits'!$K15))</f>
        <v/>
      </c>
    </row>
    <row r="180" spans="2:12" x14ac:dyDescent="0.2">
      <c r="B180" s="232" t="str">
        <f t="shared" si="11"/>
        <v/>
      </c>
      <c r="C180" s="241" t="str">
        <f>IF(B180="","",IF(AND($B180="GP",'3.1 Investor Splits'!$F$11="No"),"-",SUM('Pro Forma'!$W40:INDEX('Pro Forma'!$W40:$AZ40,1,'4. Report'!C$172))/'3.1 Investor Splits'!$K16))</f>
        <v/>
      </c>
      <c r="D180" s="151" t="str">
        <f>IF(C180="","",IF(AND($B180="GP",'3.1 Investor Splits'!$F$11="No"),"-",SUM('Pro Forma'!$W40:INDEX('Pro Forma'!$W40:$AZ40,1,'4. Report'!D$172))/'3.1 Investor Splits'!$K16))</f>
        <v/>
      </c>
      <c r="E180" s="151" t="str">
        <f>IF(D180="","",IF(AND($B180="GP",'3.1 Investor Splits'!$F$11="No"),"-",SUM('Pro Forma'!$W40:INDEX('Pro Forma'!$W40:$AZ40,1,'4. Report'!E$172))/'3.1 Investor Splits'!$K16))</f>
        <v/>
      </c>
      <c r="F180" s="151" t="str">
        <f>IF(E180="","",IF(AND($B180="GP",'3.1 Investor Splits'!$F$11="No"),"-",SUM('Pro Forma'!$W40:INDEX('Pro Forma'!$W40:$AZ40,1,'4. Report'!F$172))/'3.1 Investor Splits'!$K16))</f>
        <v/>
      </c>
      <c r="G180" s="151" t="str">
        <f>IF(F180="","",IF(AND($B180="GP",'3.1 Investor Splits'!$F$11="No"),"-",SUM('Pro Forma'!$W40:INDEX('Pro Forma'!$W40:$AZ40,1,'4. Report'!G$172))/'3.1 Investor Splits'!$K16))</f>
        <v/>
      </c>
      <c r="H180" s="151" t="str">
        <f>IF(G180="","",IF(AND($B180="GP",'3.1 Investor Splits'!$F$11="No"),"-",SUM('Pro Forma'!$W40:INDEX('Pro Forma'!$W40:$AZ40,1,'4. Report'!H$172))/'3.1 Investor Splits'!$K16))</f>
        <v/>
      </c>
      <c r="I180" s="151" t="str">
        <f>IF(H180="","",IF(AND($B180="GP",'3.1 Investor Splits'!$F$11="No"),"-",SUM('Pro Forma'!$W40:INDEX('Pro Forma'!$W40:$AZ40,1,'4. Report'!I$172))/'3.1 Investor Splits'!$K16))</f>
        <v/>
      </c>
      <c r="J180" s="151" t="str">
        <f>IF(I180="","",IF(AND($B180="GP",'3.1 Investor Splits'!$F$11="No"),"-",SUM('Pro Forma'!$W40:INDEX('Pro Forma'!$W40:$AZ40,1,'4. Report'!J$172))/'3.1 Investor Splits'!$K16))</f>
        <v/>
      </c>
      <c r="K180" s="151" t="str">
        <f>IF(J180="","",IF(AND($B180="GP",'3.1 Investor Splits'!$F$11="No"),"-",SUM('Pro Forma'!$W40:INDEX('Pro Forma'!$W40:$AZ40,1,'4. Report'!K$172))/'3.1 Investor Splits'!$K16))</f>
        <v/>
      </c>
      <c r="L180" s="152" t="str">
        <f>IF(K180="","",IF(AND($B180="GP",'3.1 Investor Splits'!$F$11="No"),"-",SUM('Pro Forma'!$W40:INDEX('Pro Forma'!$W40:$AZ40,1,'4. Report'!L$172))/'3.1 Investor Splits'!$K16))</f>
        <v/>
      </c>
    </row>
    <row r="181" spans="2:12" x14ac:dyDescent="0.2">
      <c r="B181" s="232" t="str">
        <f t="shared" si="11"/>
        <v/>
      </c>
      <c r="C181" s="241" t="str">
        <f>IF(B181="","",IF(AND($B181="GP",'3.1 Investor Splits'!$F$11="No"),"-",SUM('Pro Forma'!$W41:INDEX('Pro Forma'!$W41:$AZ41,1,'4. Report'!C$172))/'3.1 Investor Splits'!$K17))</f>
        <v/>
      </c>
      <c r="D181" s="151" t="str">
        <f>IF(C181="","",IF(AND($B181="GP",'3.1 Investor Splits'!$F$11="No"),"-",SUM('Pro Forma'!$W41:INDEX('Pro Forma'!$W41:$AZ41,1,'4. Report'!D$172))/'3.1 Investor Splits'!$K17))</f>
        <v/>
      </c>
      <c r="E181" s="151" t="str">
        <f>IF(D181="","",IF(AND($B181="GP",'3.1 Investor Splits'!$F$11="No"),"-",SUM('Pro Forma'!$W41:INDEX('Pro Forma'!$W41:$AZ41,1,'4. Report'!E$172))/'3.1 Investor Splits'!$K17))</f>
        <v/>
      </c>
      <c r="F181" s="151" t="str">
        <f>IF(E181="","",IF(AND($B181="GP",'3.1 Investor Splits'!$F$11="No"),"-",SUM('Pro Forma'!$W41:INDEX('Pro Forma'!$W41:$AZ41,1,'4. Report'!F$172))/'3.1 Investor Splits'!$K17))</f>
        <v/>
      </c>
      <c r="G181" s="151" t="str">
        <f>IF(F181="","",IF(AND($B181="GP",'3.1 Investor Splits'!$F$11="No"),"-",SUM('Pro Forma'!$W41:INDEX('Pro Forma'!$W41:$AZ41,1,'4. Report'!G$172))/'3.1 Investor Splits'!$K17))</f>
        <v/>
      </c>
      <c r="H181" s="151" t="str">
        <f>IF(G181="","",IF(AND($B181="GP",'3.1 Investor Splits'!$F$11="No"),"-",SUM('Pro Forma'!$W41:INDEX('Pro Forma'!$W41:$AZ41,1,'4. Report'!H$172))/'3.1 Investor Splits'!$K17))</f>
        <v/>
      </c>
      <c r="I181" s="151" t="str">
        <f>IF(H181="","",IF(AND($B181="GP",'3.1 Investor Splits'!$F$11="No"),"-",SUM('Pro Forma'!$W41:INDEX('Pro Forma'!$W41:$AZ41,1,'4. Report'!I$172))/'3.1 Investor Splits'!$K17))</f>
        <v/>
      </c>
      <c r="J181" s="151" t="str">
        <f>IF(I181="","",IF(AND($B181="GP",'3.1 Investor Splits'!$F$11="No"),"-",SUM('Pro Forma'!$W41:INDEX('Pro Forma'!$W41:$AZ41,1,'4. Report'!J$172))/'3.1 Investor Splits'!$K17))</f>
        <v/>
      </c>
      <c r="K181" s="151" t="str">
        <f>IF(J181="","",IF(AND($B181="GP",'3.1 Investor Splits'!$F$11="No"),"-",SUM('Pro Forma'!$W41:INDEX('Pro Forma'!$W41:$AZ41,1,'4. Report'!K$172))/'3.1 Investor Splits'!$K17))</f>
        <v/>
      </c>
      <c r="L181" s="152" t="str">
        <f>IF(K181="","",IF(AND($B181="GP",'3.1 Investor Splits'!$F$11="No"),"-",SUM('Pro Forma'!$W41:INDEX('Pro Forma'!$W41:$AZ41,1,'4. Report'!L$172))/'3.1 Investor Splits'!$K17))</f>
        <v/>
      </c>
    </row>
    <row r="182" spans="2:12" x14ac:dyDescent="0.2">
      <c r="B182" s="232" t="str">
        <f t="shared" si="11"/>
        <v/>
      </c>
      <c r="C182" s="241" t="str">
        <f>IF(B182="","",IF(AND($B182="GP",'3.1 Investor Splits'!$F$11="No"),"-",SUM('Pro Forma'!$W42:INDEX('Pro Forma'!$W42:$AZ42,1,'4. Report'!C$172))/'3.1 Investor Splits'!$K18))</f>
        <v/>
      </c>
      <c r="D182" s="151" t="str">
        <f>IF(C182="","",IF(AND($B182="GP",'3.1 Investor Splits'!$F$11="No"),"-",SUM('Pro Forma'!$W42:INDEX('Pro Forma'!$W42:$AZ42,1,'4. Report'!D$172))/'3.1 Investor Splits'!$K18))</f>
        <v/>
      </c>
      <c r="E182" s="151" t="str">
        <f>IF(D182="","",IF(AND($B182="GP",'3.1 Investor Splits'!$F$11="No"),"-",SUM('Pro Forma'!$W42:INDEX('Pro Forma'!$W42:$AZ42,1,'4. Report'!E$172))/'3.1 Investor Splits'!$K18))</f>
        <v/>
      </c>
      <c r="F182" s="151" t="str">
        <f>IF(E182="","",IF(AND($B182="GP",'3.1 Investor Splits'!$F$11="No"),"-",SUM('Pro Forma'!$W42:INDEX('Pro Forma'!$W42:$AZ42,1,'4. Report'!F$172))/'3.1 Investor Splits'!$K18))</f>
        <v/>
      </c>
      <c r="G182" s="151" t="str">
        <f>IF(F182="","",IF(AND($B182="GP",'3.1 Investor Splits'!$F$11="No"),"-",SUM('Pro Forma'!$W42:INDEX('Pro Forma'!$W42:$AZ42,1,'4. Report'!G$172))/'3.1 Investor Splits'!$K18))</f>
        <v/>
      </c>
      <c r="H182" s="151" t="str">
        <f>IF(G182="","",IF(AND($B182="GP",'3.1 Investor Splits'!$F$11="No"),"-",SUM('Pro Forma'!$W42:INDEX('Pro Forma'!$W42:$AZ42,1,'4. Report'!H$172))/'3.1 Investor Splits'!$K18))</f>
        <v/>
      </c>
      <c r="I182" s="151" t="str">
        <f>IF(H182="","",IF(AND($B182="GP",'3.1 Investor Splits'!$F$11="No"),"-",SUM('Pro Forma'!$W42:INDEX('Pro Forma'!$W42:$AZ42,1,'4. Report'!I$172))/'3.1 Investor Splits'!$K18))</f>
        <v/>
      </c>
      <c r="J182" s="151" t="str">
        <f>IF(I182="","",IF(AND($B182="GP",'3.1 Investor Splits'!$F$11="No"),"-",SUM('Pro Forma'!$W42:INDEX('Pro Forma'!$W42:$AZ42,1,'4. Report'!J$172))/'3.1 Investor Splits'!$K18))</f>
        <v/>
      </c>
      <c r="K182" s="151" t="str">
        <f>IF(J182="","",IF(AND($B182="GP",'3.1 Investor Splits'!$F$11="No"),"-",SUM('Pro Forma'!$W42:INDEX('Pro Forma'!$W42:$AZ42,1,'4. Report'!K$172))/'3.1 Investor Splits'!$K18))</f>
        <v/>
      </c>
      <c r="L182" s="152" t="str">
        <f>IF(K182="","",IF(AND($B182="GP",'3.1 Investor Splits'!$F$11="No"),"-",SUM('Pro Forma'!$W42:INDEX('Pro Forma'!$W42:$AZ42,1,'4. Report'!L$172))/'3.1 Investor Splits'!$K18))</f>
        <v/>
      </c>
    </row>
    <row r="183" spans="2:12" x14ac:dyDescent="0.2">
      <c r="B183" s="232" t="str">
        <f t="shared" si="11"/>
        <v/>
      </c>
      <c r="C183" s="241" t="str">
        <f>IF(B183="","",IF(AND($B183="GP",'3.1 Investor Splits'!$F$11="No"),"-",SUM('Pro Forma'!$W43:INDEX('Pro Forma'!$W43:$AZ43,1,'4. Report'!C$172))/'3.1 Investor Splits'!$K19))</f>
        <v/>
      </c>
      <c r="D183" s="151" t="str">
        <f>IF(C183="","",IF(AND($B183="GP",'3.1 Investor Splits'!$F$11="No"),"-",SUM('Pro Forma'!$W43:INDEX('Pro Forma'!$W43:$AZ43,1,'4. Report'!D$172))/'3.1 Investor Splits'!$K19))</f>
        <v/>
      </c>
      <c r="E183" s="151" t="str">
        <f>IF(D183="","",IF(AND($B183="GP",'3.1 Investor Splits'!$F$11="No"),"-",SUM('Pro Forma'!$W43:INDEX('Pro Forma'!$W43:$AZ43,1,'4. Report'!E$172))/'3.1 Investor Splits'!$K19))</f>
        <v/>
      </c>
      <c r="F183" s="151" t="str">
        <f>IF(E183="","",IF(AND($B183="GP",'3.1 Investor Splits'!$F$11="No"),"-",SUM('Pro Forma'!$W43:INDEX('Pro Forma'!$W43:$AZ43,1,'4. Report'!F$172))/'3.1 Investor Splits'!$K19))</f>
        <v/>
      </c>
      <c r="G183" s="151" t="str">
        <f>IF(F183="","",IF(AND($B183="GP",'3.1 Investor Splits'!$F$11="No"),"-",SUM('Pro Forma'!$W43:INDEX('Pro Forma'!$W43:$AZ43,1,'4. Report'!G$172))/'3.1 Investor Splits'!$K19))</f>
        <v/>
      </c>
      <c r="H183" s="151" t="str">
        <f>IF(G183="","",IF(AND($B183="GP",'3.1 Investor Splits'!$F$11="No"),"-",SUM('Pro Forma'!$W43:INDEX('Pro Forma'!$W43:$AZ43,1,'4. Report'!H$172))/'3.1 Investor Splits'!$K19))</f>
        <v/>
      </c>
      <c r="I183" s="151" t="str">
        <f>IF(H183="","",IF(AND($B183="GP",'3.1 Investor Splits'!$F$11="No"),"-",SUM('Pro Forma'!$W43:INDEX('Pro Forma'!$W43:$AZ43,1,'4. Report'!I$172))/'3.1 Investor Splits'!$K19))</f>
        <v/>
      </c>
      <c r="J183" s="151" t="str">
        <f>IF(I183="","",IF(AND($B183="GP",'3.1 Investor Splits'!$F$11="No"),"-",SUM('Pro Forma'!$W43:INDEX('Pro Forma'!$W43:$AZ43,1,'4. Report'!J$172))/'3.1 Investor Splits'!$K19))</f>
        <v/>
      </c>
      <c r="K183" s="151" t="str">
        <f>IF(J183="","",IF(AND($B183="GP",'3.1 Investor Splits'!$F$11="No"),"-",SUM('Pro Forma'!$W43:INDEX('Pro Forma'!$W43:$AZ43,1,'4. Report'!K$172))/'3.1 Investor Splits'!$K19))</f>
        <v/>
      </c>
      <c r="L183" s="152" t="str">
        <f>IF(K183="","",IF(AND($B183="GP",'3.1 Investor Splits'!$F$11="No"),"-",SUM('Pro Forma'!$W43:INDEX('Pro Forma'!$W43:$AZ43,1,'4. Report'!L$172))/'3.1 Investor Splits'!$K19))</f>
        <v/>
      </c>
    </row>
    <row r="184" spans="2:12" x14ac:dyDescent="0.2">
      <c r="B184" s="232" t="str">
        <f t="shared" si="11"/>
        <v/>
      </c>
      <c r="C184" s="241" t="str">
        <f>IF(B184="","",IF(AND($B184="GP",'3.1 Investor Splits'!$F$11="No"),"-",SUM('Pro Forma'!$W44:INDEX('Pro Forma'!$W44:$AZ44,1,'4. Report'!C$172))/'3.1 Investor Splits'!$K20))</f>
        <v/>
      </c>
      <c r="D184" s="151" t="str">
        <f>IF(C184="","",IF(AND($B184="GP",'3.1 Investor Splits'!$F$11="No"),"-",SUM('Pro Forma'!$W44:INDEX('Pro Forma'!$W44:$AZ44,1,'4. Report'!D$172))/'3.1 Investor Splits'!$K20))</f>
        <v/>
      </c>
      <c r="E184" s="151" t="str">
        <f>IF(D184="","",IF(AND($B184="GP",'3.1 Investor Splits'!$F$11="No"),"-",SUM('Pro Forma'!$W44:INDEX('Pro Forma'!$W44:$AZ44,1,'4. Report'!E$172))/'3.1 Investor Splits'!$K20))</f>
        <v/>
      </c>
      <c r="F184" s="151" t="str">
        <f>IF(E184="","",IF(AND($B184="GP",'3.1 Investor Splits'!$F$11="No"),"-",SUM('Pro Forma'!$W44:INDEX('Pro Forma'!$W44:$AZ44,1,'4. Report'!F$172))/'3.1 Investor Splits'!$K20))</f>
        <v/>
      </c>
      <c r="G184" s="151" t="str">
        <f>IF(F184="","",IF(AND($B184="GP",'3.1 Investor Splits'!$F$11="No"),"-",SUM('Pro Forma'!$W44:INDEX('Pro Forma'!$W44:$AZ44,1,'4. Report'!G$172))/'3.1 Investor Splits'!$K20))</f>
        <v/>
      </c>
      <c r="H184" s="151" t="str">
        <f>IF(G184="","",IF(AND($B184="GP",'3.1 Investor Splits'!$F$11="No"),"-",SUM('Pro Forma'!$W44:INDEX('Pro Forma'!$W44:$AZ44,1,'4. Report'!H$172))/'3.1 Investor Splits'!$K20))</f>
        <v/>
      </c>
      <c r="I184" s="151" t="str">
        <f>IF(H184="","",IF(AND($B184="GP",'3.1 Investor Splits'!$F$11="No"),"-",SUM('Pro Forma'!$W44:INDEX('Pro Forma'!$W44:$AZ44,1,'4. Report'!I$172))/'3.1 Investor Splits'!$K20))</f>
        <v/>
      </c>
      <c r="J184" s="151" t="str">
        <f>IF(I184="","",IF(AND($B184="GP",'3.1 Investor Splits'!$F$11="No"),"-",SUM('Pro Forma'!$W44:INDEX('Pro Forma'!$W44:$AZ44,1,'4. Report'!J$172))/'3.1 Investor Splits'!$K20))</f>
        <v/>
      </c>
      <c r="K184" s="151" t="str">
        <f>IF(J184="","",IF(AND($B184="GP",'3.1 Investor Splits'!$F$11="No"),"-",SUM('Pro Forma'!$W44:INDEX('Pro Forma'!$W44:$AZ44,1,'4. Report'!K$172))/'3.1 Investor Splits'!$K20))</f>
        <v/>
      </c>
      <c r="L184" s="152" t="str">
        <f>IF(K184="","",IF(AND($B184="GP",'3.1 Investor Splits'!$F$11="No"),"-",SUM('Pro Forma'!$W44:INDEX('Pro Forma'!$W44:$AZ44,1,'4. Report'!L$172))/'3.1 Investor Splits'!$K20))</f>
        <v/>
      </c>
    </row>
    <row r="185" spans="2:12" x14ac:dyDescent="0.2">
      <c r="B185" s="232" t="str">
        <f t="shared" si="11"/>
        <v/>
      </c>
      <c r="C185" s="241" t="str">
        <f>IF(B185="","",IF(AND($B185="GP",'3.1 Investor Splits'!$F$11="No"),"-",SUM('Pro Forma'!$W45:INDEX('Pro Forma'!$W45:$AZ45,1,'4. Report'!C$172))/'3.1 Investor Splits'!$K21))</f>
        <v/>
      </c>
      <c r="D185" s="151" t="str">
        <f>IF(C185="","",IF(AND($B185="GP",'3.1 Investor Splits'!$F$11="No"),"-",SUM('Pro Forma'!$W45:INDEX('Pro Forma'!$W45:$AZ45,1,'4. Report'!D$172))/'3.1 Investor Splits'!$K21))</f>
        <v/>
      </c>
      <c r="E185" s="151" t="str">
        <f>IF(D185="","",IF(AND($B185="GP",'3.1 Investor Splits'!$F$11="No"),"-",SUM('Pro Forma'!$W45:INDEX('Pro Forma'!$W45:$AZ45,1,'4. Report'!E$172))/'3.1 Investor Splits'!$K21))</f>
        <v/>
      </c>
      <c r="F185" s="151" t="str">
        <f>IF(E185="","",IF(AND($B185="GP",'3.1 Investor Splits'!$F$11="No"),"-",SUM('Pro Forma'!$W45:INDEX('Pro Forma'!$W45:$AZ45,1,'4. Report'!F$172))/'3.1 Investor Splits'!$K21))</f>
        <v/>
      </c>
      <c r="G185" s="151" t="str">
        <f>IF(F185="","",IF(AND($B185="GP",'3.1 Investor Splits'!$F$11="No"),"-",SUM('Pro Forma'!$W45:INDEX('Pro Forma'!$W45:$AZ45,1,'4. Report'!G$172))/'3.1 Investor Splits'!$K21))</f>
        <v/>
      </c>
      <c r="H185" s="151" t="str">
        <f>IF(G185="","",IF(AND($B185="GP",'3.1 Investor Splits'!$F$11="No"),"-",SUM('Pro Forma'!$W45:INDEX('Pro Forma'!$W45:$AZ45,1,'4. Report'!H$172))/'3.1 Investor Splits'!$K21))</f>
        <v/>
      </c>
      <c r="I185" s="151" t="str">
        <f>IF(H185="","",IF(AND($B185="GP",'3.1 Investor Splits'!$F$11="No"),"-",SUM('Pro Forma'!$W45:INDEX('Pro Forma'!$W45:$AZ45,1,'4. Report'!I$172))/'3.1 Investor Splits'!$K21))</f>
        <v/>
      </c>
      <c r="J185" s="151" t="str">
        <f>IF(I185="","",IF(AND($B185="GP",'3.1 Investor Splits'!$F$11="No"),"-",SUM('Pro Forma'!$W45:INDEX('Pro Forma'!$W45:$AZ45,1,'4. Report'!J$172))/'3.1 Investor Splits'!$K21))</f>
        <v/>
      </c>
      <c r="K185" s="151" t="str">
        <f>IF(J185="","",IF(AND($B185="GP",'3.1 Investor Splits'!$F$11="No"),"-",SUM('Pro Forma'!$W45:INDEX('Pro Forma'!$W45:$AZ45,1,'4. Report'!K$172))/'3.1 Investor Splits'!$K21))</f>
        <v/>
      </c>
      <c r="L185" s="152" t="str">
        <f>IF(K185="","",IF(AND($B185="GP",'3.1 Investor Splits'!$F$11="No"),"-",SUM('Pro Forma'!$W45:INDEX('Pro Forma'!$W45:$AZ45,1,'4. Report'!L$172))/'3.1 Investor Splits'!$K21))</f>
        <v/>
      </c>
    </row>
    <row r="186" spans="2:12" x14ac:dyDescent="0.2">
      <c r="B186" s="232" t="str">
        <f t="shared" si="11"/>
        <v/>
      </c>
      <c r="C186" s="241" t="str">
        <f>IF(B186="","",IF(AND($B186="GP",'3.1 Investor Splits'!$F$11="No"),"-",SUM('Pro Forma'!$W46:INDEX('Pro Forma'!$W46:$AZ46,1,'4. Report'!C$172))/'3.1 Investor Splits'!$K22))</f>
        <v/>
      </c>
      <c r="D186" s="151" t="str">
        <f>IF(C186="","",IF(AND($B186="GP",'3.1 Investor Splits'!$F$11="No"),"-",SUM('Pro Forma'!$W46:INDEX('Pro Forma'!$W46:$AZ46,1,'4. Report'!D$172))/'3.1 Investor Splits'!$K22))</f>
        <v/>
      </c>
      <c r="E186" s="151" t="str">
        <f>IF(D186="","",IF(AND($B186="GP",'3.1 Investor Splits'!$F$11="No"),"-",SUM('Pro Forma'!$W46:INDEX('Pro Forma'!$W46:$AZ46,1,'4. Report'!E$172))/'3.1 Investor Splits'!$K22))</f>
        <v/>
      </c>
      <c r="F186" s="151" t="str">
        <f>IF(E186="","",IF(AND($B186="GP",'3.1 Investor Splits'!$F$11="No"),"-",SUM('Pro Forma'!$W46:INDEX('Pro Forma'!$W46:$AZ46,1,'4. Report'!F$172))/'3.1 Investor Splits'!$K22))</f>
        <v/>
      </c>
      <c r="G186" s="151" t="str">
        <f>IF(F186="","",IF(AND($B186="GP",'3.1 Investor Splits'!$F$11="No"),"-",SUM('Pro Forma'!$W46:INDEX('Pro Forma'!$W46:$AZ46,1,'4. Report'!G$172))/'3.1 Investor Splits'!$K22))</f>
        <v/>
      </c>
      <c r="H186" s="151" t="str">
        <f>IF(G186="","",IF(AND($B186="GP",'3.1 Investor Splits'!$F$11="No"),"-",SUM('Pro Forma'!$W46:INDEX('Pro Forma'!$W46:$AZ46,1,'4. Report'!H$172))/'3.1 Investor Splits'!$K22))</f>
        <v/>
      </c>
      <c r="I186" s="151" t="str">
        <f>IF(H186="","",IF(AND($B186="GP",'3.1 Investor Splits'!$F$11="No"),"-",SUM('Pro Forma'!$W46:INDEX('Pro Forma'!$W46:$AZ46,1,'4. Report'!I$172))/'3.1 Investor Splits'!$K22))</f>
        <v/>
      </c>
      <c r="J186" s="151" t="str">
        <f>IF(I186="","",IF(AND($B186="GP",'3.1 Investor Splits'!$F$11="No"),"-",SUM('Pro Forma'!$W46:INDEX('Pro Forma'!$W46:$AZ46,1,'4. Report'!J$172))/'3.1 Investor Splits'!$K22))</f>
        <v/>
      </c>
      <c r="K186" s="151" t="str">
        <f>IF(J186="","",IF(AND($B186="GP",'3.1 Investor Splits'!$F$11="No"),"-",SUM('Pro Forma'!$W46:INDEX('Pro Forma'!$W46:$AZ46,1,'4. Report'!K$172))/'3.1 Investor Splits'!$K22))</f>
        <v/>
      </c>
      <c r="L186" s="152" t="str">
        <f>IF(K186="","",IF(AND($B186="GP",'3.1 Investor Splits'!$F$11="No"),"-",SUM('Pro Forma'!$W46:INDEX('Pro Forma'!$W46:$AZ46,1,'4. Report'!L$172))/'3.1 Investor Splits'!$K22))</f>
        <v/>
      </c>
    </row>
    <row r="187" spans="2:12" x14ac:dyDescent="0.2">
      <c r="B187" s="232" t="str">
        <f t="shared" si="11"/>
        <v/>
      </c>
      <c r="C187" s="241" t="str">
        <f>IF(B187="","",IF(AND($B187="GP",'3.1 Investor Splits'!$F$11="No"),"-",SUM('Pro Forma'!$W47:INDEX('Pro Forma'!$W47:$AZ47,1,'4. Report'!C$172))/'3.1 Investor Splits'!$K23))</f>
        <v/>
      </c>
      <c r="D187" s="151" t="str">
        <f>IF(C187="","",IF(AND($B187="GP",'3.1 Investor Splits'!$F$11="No"),"-",SUM('Pro Forma'!$W47:INDEX('Pro Forma'!$W47:$AZ47,1,'4. Report'!D$172))/'3.1 Investor Splits'!$K23))</f>
        <v/>
      </c>
      <c r="E187" s="151" t="str">
        <f>IF(D187="","",IF(AND($B187="GP",'3.1 Investor Splits'!$F$11="No"),"-",SUM('Pro Forma'!$W47:INDEX('Pro Forma'!$W47:$AZ47,1,'4. Report'!E$172))/'3.1 Investor Splits'!$K23))</f>
        <v/>
      </c>
      <c r="F187" s="151" t="str">
        <f>IF(E187="","",IF(AND($B187="GP",'3.1 Investor Splits'!$F$11="No"),"-",SUM('Pro Forma'!$W47:INDEX('Pro Forma'!$W47:$AZ47,1,'4. Report'!F$172))/'3.1 Investor Splits'!$K23))</f>
        <v/>
      </c>
      <c r="G187" s="151" t="str">
        <f>IF(F187="","",IF(AND($B187="GP",'3.1 Investor Splits'!$F$11="No"),"-",SUM('Pro Forma'!$W47:INDEX('Pro Forma'!$W47:$AZ47,1,'4. Report'!G$172))/'3.1 Investor Splits'!$K23))</f>
        <v/>
      </c>
      <c r="H187" s="151" t="str">
        <f>IF(G187="","",IF(AND($B187="GP",'3.1 Investor Splits'!$F$11="No"),"-",SUM('Pro Forma'!$W47:INDEX('Pro Forma'!$W47:$AZ47,1,'4. Report'!H$172))/'3.1 Investor Splits'!$K23))</f>
        <v/>
      </c>
      <c r="I187" s="151" t="str">
        <f>IF(H187="","",IF(AND($B187="GP",'3.1 Investor Splits'!$F$11="No"),"-",SUM('Pro Forma'!$W47:INDEX('Pro Forma'!$W47:$AZ47,1,'4. Report'!I$172))/'3.1 Investor Splits'!$K23))</f>
        <v/>
      </c>
      <c r="J187" s="151" t="str">
        <f>IF(I187="","",IF(AND($B187="GP",'3.1 Investor Splits'!$F$11="No"),"-",SUM('Pro Forma'!$W47:INDEX('Pro Forma'!$W47:$AZ47,1,'4. Report'!J$172))/'3.1 Investor Splits'!$K23))</f>
        <v/>
      </c>
      <c r="K187" s="151" t="str">
        <f>IF(J187="","",IF(AND($B187="GP",'3.1 Investor Splits'!$F$11="No"),"-",SUM('Pro Forma'!$W47:INDEX('Pro Forma'!$W47:$AZ47,1,'4. Report'!K$172))/'3.1 Investor Splits'!$K23))</f>
        <v/>
      </c>
      <c r="L187" s="152" t="str">
        <f>IF(K187="","",IF(AND($B187="GP",'3.1 Investor Splits'!$F$11="No"),"-",SUM('Pro Forma'!$W47:INDEX('Pro Forma'!$W47:$AZ47,1,'4. Report'!L$172))/'3.1 Investor Splits'!$K23))</f>
        <v/>
      </c>
    </row>
    <row r="188" spans="2:12" x14ac:dyDescent="0.2">
      <c r="B188" s="232" t="str">
        <f t="shared" si="11"/>
        <v/>
      </c>
      <c r="C188" s="241" t="str">
        <f>IF(B188="","",IF(AND($B188="GP",'3.1 Investor Splits'!$F$11="No"),"-",SUM('Pro Forma'!$W48:INDEX('Pro Forma'!$W48:$AZ48,1,'4. Report'!C$172))/'3.1 Investor Splits'!$K24))</f>
        <v/>
      </c>
      <c r="D188" s="151" t="str">
        <f>IF(C188="","",IF(AND($B188="GP",'3.1 Investor Splits'!$F$11="No"),"-",SUM('Pro Forma'!$W48:INDEX('Pro Forma'!$W48:$AZ48,1,'4. Report'!D$172))/'3.1 Investor Splits'!$K24))</f>
        <v/>
      </c>
      <c r="E188" s="151" t="str">
        <f>IF(D188="","",IF(AND($B188="GP",'3.1 Investor Splits'!$F$11="No"),"-",SUM('Pro Forma'!$W48:INDEX('Pro Forma'!$W48:$AZ48,1,'4. Report'!E$172))/'3.1 Investor Splits'!$K24))</f>
        <v/>
      </c>
      <c r="F188" s="151" t="str">
        <f>IF(E188="","",IF(AND($B188="GP",'3.1 Investor Splits'!$F$11="No"),"-",SUM('Pro Forma'!$W48:INDEX('Pro Forma'!$W48:$AZ48,1,'4. Report'!F$172))/'3.1 Investor Splits'!$K24))</f>
        <v/>
      </c>
      <c r="G188" s="151" t="str">
        <f>IF(F188="","",IF(AND($B188="GP",'3.1 Investor Splits'!$F$11="No"),"-",SUM('Pro Forma'!$W48:INDEX('Pro Forma'!$W48:$AZ48,1,'4. Report'!G$172))/'3.1 Investor Splits'!$K24))</f>
        <v/>
      </c>
      <c r="H188" s="151" t="str">
        <f>IF(G188="","",IF(AND($B188="GP",'3.1 Investor Splits'!$F$11="No"),"-",SUM('Pro Forma'!$W48:INDEX('Pro Forma'!$W48:$AZ48,1,'4. Report'!H$172))/'3.1 Investor Splits'!$K24))</f>
        <v/>
      </c>
      <c r="I188" s="151" t="str">
        <f>IF(H188="","",IF(AND($B188="GP",'3.1 Investor Splits'!$F$11="No"),"-",SUM('Pro Forma'!$W48:INDEX('Pro Forma'!$W48:$AZ48,1,'4. Report'!I$172))/'3.1 Investor Splits'!$K24))</f>
        <v/>
      </c>
      <c r="J188" s="151" t="str">
        <f>IF(I188="","",IF(AND($B188="GP",'3.1 Investor Splits'!$F$11="No"),"-",SUM('Pro Forma'!$W48:INDEX('Pro Forma'!$W48:$AZ48,1,'4. Report'!J$172))/'3.1 Investor Splits'!$K24))</f>
        <v/>
      </c>
      <c r="K188" s="151" t="str">
        <f>IF(J188="","",IF(AND($B188="GP",'3.1 Investor Splits'!$F$11="No"),"-",SUM('Pro Forma'!$W48:INDEX('Pro Forma'!$W48:$AZ48,1,'4. Report'!K$172))/'3.1 Investor Splits'!$K24))</f>
        <v/>
      </c>
      <c r="L188" s="152" t="str">
        <f>IF(K188="","",IF(AND($B188="GP",'3.1 Investor Splits'!$F$11="No"),"-",SUM('Pro Forma'!$W48:INDEX('Pro Forma'!$W48:$AZ48,1,'4. Report'!L$172))/'3.1 Investor Splits'!$K24))</f>
        <v/>
      </c>
    </row>
    <row r="189" spans="2:12" x14ac:dyDescent="0.2">
      <c r="B189" s="232" t="str">
        <f t="shared" si="11"/>
        <v/>
      </c>
      <c r="C189" s="241" t="str">
        <f>IF(B189="","",IF(AND($B189="GP",'3.1 Investor Splits'!$F$11="No"),"-",SUM('Pro Forma'!$W49:INDEX('Pro Forma'!$W49:$AZ49,1,'4. Report'!C$172))/'3.1 Investor Splits'!$K25))</f>
        <v/>
      </c>
      <c r="D189" s="151" t="str">
        <f>IF(C189="","",IF(AND($B189="GP",'3.1 Investor Splits'!$F$11="No"),"-",SUM('Pro Forma'!$W49:INDEX('Pro Forma'!$W49:$AZ49,1,'4. Report'!D$172))/'3.1 Investor Splits'!$K25))</f>
        <v/>
      </c>
      <c r="E189" s="151" t="str">
        <f>IF(D189="","",IF(AND($B189="GP",'3.1 Investor Splits'!$F$11="No"),"-",SUM('Pro Forma'!$W49:INDEX('Pro Forma'!$W49:$AZ49,1,'4. Report'!E$172))/'3.1 Investor Splits'!$K25))</f>
        <v/>
      </c>
      <c r="F189" s="151" t="str">
        <f>IF(E189="","",IF(AND($B189="GP",'3.1 Investor Splits'!$F$11="No"),"-",SUM('Pro Forma'!$W49:INDEX('Pro Forma'!$W49:$AZ49,1,'4. Report'!F$172))/'3.1 Investor Splits'!$K25))</f>
        <v/>
      </c>
      <c r="G189" s="151" t="str">
        <f>IF(F189="","",IF(AND($B189="GP",'3.1 Investor Splits'!$F$11="No"),"-",SUM('Pro Forma'!$W49:INDEX('Pro Forma'!$W49:$AZ49,1,'4. Report'!G$172))/'3.1 Investor Splits'!$K25))</f>
        <v/>
      </c>
      <c r="H189" s="151" t="str">
        <f>IF(G189="","",IF(AND($B189="GP",'3.1 Investor Splits'!$F$11="No"),"-",SUM('Pro Forma'!$W49:INDEX('Pro Forma'!$W49:$AZ49,1,'4. Report'!H$172))/'3.1 Investor Splits'!$K25))</f>
        <v/>
      </c>
      <c r="I189" s="151" t="str">
        <f>IF(H189="","",IF(AND($B189="GP",'3.1 Investor Splits'!$F$11="No"),"-",SUM('Pro Forma'!$W49:INDEX('Pro Forma'!$W49:$AZ49,1,'4. Report'!I$172))/'3.1 Investor Splits'!$K25))</f>
        <v/>
      </c>
      <c r="J189" s="151" t="str">
        <f>IF(I189="","",IF(AND($B189="GP",'3.1 Investor Splits'!$F$11="No"),"-",SUM('Pro Forma'!$W49:INDEX('Pro Forma'!$W49:$AZ49,1,'4. Report'!J$172))/'3.1 Investor Splits'!$K25))</f>
        <v/>
      </c>
      <c r="K189" s="151" t="str">
        <f>IF(J189="","",IF(AND($B189="GP",'3.1 Investor Splits'!$F$11="No"),"-",SUM('Pro Forma'!$W49:INDEX('Pro Forma'!$W49:$AZ49,1,'4. Report'!K$172))/'3.1 Investor Splits'!$K25))</f>
        <v/>
      </c>
      <c r="L189" s="152" t="str">
        <f>IF(K189="","",IF(AND($B189="GP",'3.1 Investor Splits'!$F$11="No"),"-",SUM('Pro Forma'!$W49:INDEX('Pro Forma'!$W49:$AZ49,1,'4. Report'!L$172))/'3.1 Investor Splits'!$K25))</f>
        <v/>
      </c>
    </row>
    <row r="190" spans="2:12" x14ac:dyDescent="0.2">
      <c r="B190" s="232" t="str">
        <f t="shared" si="11"/>
        <v/>
      </c>
      <c r="C190" s="241" t="str">
        <f>IF(B190="","",IF(AND($B190="GP",'3.1 Investor Splits'!$F$11="No"),"-",SUM('Pro Forma'!$W50:INDEX('Pro Forma'!$W50:$AZ50,1,'4. Report'!C$172))/'3.1 Investor Splits'!$K26))</f>
        <v/>
      </c>
      <c r="D190" s="151" t="str">
        <f>IF(C190="","",IF(AND($B190="GP",'3.1 Investor Splits'!$F$11="No"),"-",SUM('Pro Forma'!$W50:INDEX('Pro Forma'!$W50:$AZ50,1,'4. Report'!D$172))/'3.1 Investor Splits'!$K26))</f>
        <v/>
      </c>
      <c r="E190" s="151" t="str">
        <f>IF(D190="","",IF(AND($B190="GP",'3.1 Investor Splits'!$F$11="No"),"-",SUM('Pro Forma'!$W50:INDEX('Pro Forma'!$W50:$AZ50,1,'4. Report'!E$172))/'3.1 Investor Splits'!$K26))</f>
        <v/>
      </c>
      <c r="F190" s="151" t="str">
        <f>IF(E190="","",IF(AND($B190="GP",'3.1 Investor Splits'!$F$11="No"),"-",SUM('Pro Forma'!$W50:INDEX('Pro Forma'!$W50:$AZ50,1,'4. Report'!F$172))/'3.1 Investor Splits'!$K26))</f>
        <v/>
      </c>
      <c r="G190" s="151" t="str">
        <f>IF(F190="","",IF(AND($B190="GP",'3.1 Investor Splits'!$F$11="No"),"-",SUM('Pro Forma'!$W50:INDEX('Pro Forma'!$W50:$AZ50,1,'4. Report'!G$172))/'3.1 Investor Splits'!$K26))</f>
        <v/>
      </c>
      <c r="H190" s="151" t="str">
        <f>IF(G190="","",IF(AND($B190="GP",'3.1 Investor Splits'!$F$11="No"),"-",SUM('Pro Forma'!$W50:INDEX('Pro Forma'!$W50:$AZ50,1,'4. Report'!H$172))/'3.1 Investor Splits'!$K26))</f>
        <v/>
      </c>
      <c r="I190" s="151" t="str">
        <f>IF(H190="","",IF(AND($B190="GP",'3.1 Investor Splits'!$F$11="No"),"-",SUM('Pro Forma'!$W50:INDEX('Pro Forma'!$W50:$AZ50,1,'4. Report'!I$172))/'3.1 Investor Splits'!$K26))</f>
        <v/>
      </c>
      <c r="J190" s="151" t="str">
        <f>IF(I190="","",IF(AND($B190="GP",'3.1 Investor Splits'!$F$11="No"),"-",SUM('Pro Forma'!$W50:INDEX('Pro Forma'!$W50:$AZ50,1,'4. Report'!J$172))/'3.1 Investor Splits'!$K26))</f>
        <v/>
      </c>
      <c r="K190" s="151" t="str">
        <f>IF(J190="","",IF(AND($B190="GP",'3.1 Investor Splits'!$F$11="No"),"-",SUM('Pro Forma'!$W50:INDEX('Pro Forma'!$W50:$AZ50,1,'4. Report'!K$172))/'3.1 Investor Splits'!$K26))</f>
        <v/>
      </c>
      <c r="L190" s="152" t="str">
        <f>IF(K190="","",IF(AND($B190="GP",'3.1 Investor Splits'!$F$11="No"),"-",SUM('Pro Forma'!$W50:INDEX('Pro Forma'!$W50:$AZ50,1,'4. Report'!L$172))/'3.1 Investor Splits'!$K26))</f>
        <v/>
      </c>
    </row>
    <row r="191" spans="2:12" x14ac:dyDescent="0.2">
      <c r="B191" s="232" t="str">
        <f t="shared" si="11"/>
        <v/>
      </c>
      <c r="C191" s="241" t="str">
        <f>IF(B191="","",IF(AND($B191="GP",'3.1 Investor Splits'!$F$11="No"),"-",SUM('Pro Forma'!$W51:INDEX('Pro Forma'!$W51:$AZ51,1,'4. Report'!C$172))/'3.1 Investor Splits'!$K27))</f>
        <v/>
      </c>
      <c r="D191" s="151" t="str">
        <f>IF(C191="","",IF(AND($B191="GP",'3.1 Investor Splits'!$F$11="No"),"-",SUM('Pro Forma'!$W51:INDEX('Pro Forma'!$W51:$AZ51,1,'4. Report'!D$172))/'3.1 Investor Splits'!$K27))</f>
        <v/>
      </c>
      <c r="E191" s="151" t="str">
        <f>IF(D191="","",IF(AND($B191="GP",'3.1 Investor Splits'!$F$11="No"),"-",SUM('Pro Forma'!$W51:INDEX('Pro Forma'!$W51:$AZ51,1,'4. Report'!E$172))/'3.1 Investor Splits'!$K27))</f>
        <v/>
      </c>
      <c r="F191" s="151" t="str">
        <f>IF(E191="","",IF(AND($B191="GP",'3.1 Investor Splits'!$F$11="No"),"-",SUM('Pro Forma'!$W51:INDEX('Pro Forma'!$W51:$AZ51,1,'4. Report'!F$172))/'3.1 Investor Splits'!$K27))</f>
        <v/>
      </c>
      <c r="G191" s="151" t="str">
        <f>IF(F191="","",IF(AND($B191="GP",'3.1 Investor Splits'!$F$11="No"),"-",SUM('Pro Forma'!$W51:INDEX('Pro Forma'!$W51:$AZ51,1,'4. Report'!G$172))/'3.1 Investor Splits'!$K27))</f>
        <v/>
      </c>
      <c r="H191" s="151" t="str">
        <f>IF(G191="","",IF(AND($B191="GP",'3.1 Investor Splits'!$F$11="No"),"-",SUM('Pro Forma'!$W51:INDEX('Pro Forma'!$W51:$AZ51,1,'4. Report'!H$172))/'3.1 Investor Splits'!$K27))</f>
        <v/>
      </c>
      <c r="I191" s="151" t="str">
        <f>IF(H191="","",IF(AND($B191="GP",'3.1 Investor Splits'!$F$11="No"),"-",SUM('Pro Forma'!$W51:INDEX('Pro Forma'!$W51:$AZ51,1,'4. Report'!I$172))/'3.1 Investor Splits'!$K27))</f>
        <v/>
      </c>
      <c r="J191" s="151" t="str">
        <f>IF(I191="","",IF(AND($B191="GP",'3.1 Investor Splits'!$F$11="No"),"-",SUM('Pro Forma'!$W51:INDEX('Pro Forma'!$W51:$AZ51,1,'4. Report'!J$172))/'3.1 Investor Splits'!$K27))</f>
        <v/>
      </c>
      <c r="K191" s="151" t="str">
        <f>IF(J191="","",IF(AND($B191="GP",'3.1 Investor Splits'!$F$11="No"),"-",SUM('Pro Forma'!$W51:INDEX('Pro Forma'!$W51:$AZ51,1,'4. Report'!K$172))/'3.1 Investor Splits'!$K27))</f>
        <v/>
      </c>
      <c r="L191" s="152" t="str">
        <f>IF(K191="","",IF(AND($B191="GP",'3.1 Investor Splits'!$F$11="No"),"-",SUM('Pro Forma'!$W51:INDEX('Pro Forma'!$W51:$AZ51,1,'4. Report'!L$172))/'3.1 Investor Splits'!$K27))</f>
        <v/>
      </c>
    </row>
    <row r="192" spans="2:12" x14ac:dyDescent="0.2">
      <c r="B192" s="232" t="str">
        <f t="shared" si="11"/>
        <v/>
      </c>
      <c r="C192" s="241" t="str">
        <f>IF(B192="","",IF(AND($B192="GP",'3.1 Investor Splits'!$F$11="No"),"-",SUM('Pro Forma'!$W52:INDEX('Pro Forma'!$W52:$AZ52,1,'4. Report'!C$172))/'3.1 Investor Splits'!$K28))</f>
        <v/>
      </c>
      <c r="D192" s="151" t="str">
        <f>IF(C192="","",IF(AND($B192="GP",'3.1 Investor Splits'!$F$11="No"),"-",SUM('Pro Forma'!$W52:INDEX('Pro Forma'!$W52:$AZ52,1,'4. Report'!D$172))/'3.1 Investor Splits'!$K28))</f>
        <v/>
      </c>
      <c r="E192" s="151" t="str">
        <f>IF(D192="","",IF(AND($B192="GP",'3.1 Investor Splits'!$F$11="No"),"-",SUM('Pro Forma'!$W52:INDEX('Pro Forma'!$W52:$AZ52,1,'4. Report'!E$172))/'3.1 Investor Splits'!$K28))</f>
        <v/>
      </c>
      <c r="F192" s="151" t="str">
        <f>IF(E192="","",IF(AND($B192="GP",'3.1 Investor Splits'!$F$11="No"),"-",SUM('Pro Forma'!$W52:INDEX('Pro Forma'!$W52:$AZ52,1,'4. Report'!F$172))/'3.1 Investor Splits'!$K28))</f>
        <v/>
      </c>
      <c r="G192" s="151" t="str">
        <f>IF(F192="","",IF(AND($B192="GP",'3.1 Investor Splits'!$F$11="No"),"-",SUM('Pro Forma'!$W52:INDEX('Pro Forma'!$W52:$AZ52,1,'4. Report'!G$172))/'3.1 Investor Splits'!$K28))</f>
        <v/>
      </c>
      <c r="H192" s="151" t="str">
        <f>IF(G192="","",IF(AND($B192="GP",'3.1 Investor Splits'!$F$11="No"),"-",SUM('Pro Forma'!$W52:INDEX('Pro Forma'!$W52:$AZ52,1,'4. Report'!H$172))/'3.1 Investor Splits'!$K28))</f>
        <v/>
      </c>
      <c r="I192" s="151" t="str">
        <f>IF(H192="","",IF(AND($B192="GP",'3.1 Investor Splits'!$F$11="No"),"-",SUM('Pro Forma'!$W52:INDEX('Pro Forma'!$W52:$AZ52,1,'4. Report'!I$172))/'3.1 Investor Splits'!$K28))</f>
        <v/>
      </c>
      <c r="J192" s="151" t="str">
        <f>IF(I192="","",IF(AND($B192="GP",'3.1 Investor Splits'!$F$11="No"),"-",SUM('Pro Forma'!$W52:INDEX('Pro Forma'!$W52:$AZ52,1,'4. Report'!J$172))/'3.1 Investor Splits'!$K28))</f>
        <v/>
      </c>
      <c r="K192" s="151" t="str">
        <f>IF(J192="","",IF(AND($B192="GP",'3.1 Investor Splits'!$F$11="No"),"-",SUM('Pro Forma'!$W52:INDEX('Pro Forma'!$W52:$AZ52,1,'4. Report'!K$172))/'3.1 Investor Splits'!$K28))</f>
        <v/>
      </c>
      <c r="L192" s="152" t="str">
        <f>IF(K192="","",IF(AND($B192="GP",'3.1 Investor Splits'!$F$11="No"),"-",SUM('Pro Forma'!$W52:INDEX('Pro Forma'!$W52:$AZ52,1,'4. Report'!L$172))/'3.1 Investor Splits'!$K28))</f>
        <v/>
      </c>
    </row>
    <row r="193" spans="2:12" x14ac:dyDescent="0.2">
      <c r="B193" s="232" t="str">
        <f t="shared" si="11"/>
        <v/>
      </c>
      <c r="C193" s="241" t="str">
        <f>IF(B193="","",IF(AND($B193="GP",'3.1 Investor Splits'!$F$11="No"),"-",SUM('Pro Forma'!$W53:INDEX('Pro Forma'!$W53:$AZ53,1,'4. Report'!C$172))/'3.1 Investor Splits'!$K29))</f>
        <v/>
      </c>
      <c r="D193" s="151" t="str">
        <f>IF(C193="","",IF(AND($B193="GP",'3.1 Investor Splits'!$F$11="No"),"-",SUM('Pro Forma'!$W53:INDEX('Pro Forma'!$W53:$AZ53,1,'4. Report'!D$172))/'3.1 Investor Splits'!$K29))</f>
        <v/>
      </c>
      <c r="E193" s="151" t="str">
        <f>IF(D193="","",IF(AND($B193="GP",'3.1 Investor Splits'!$F$11="No"),"-",SUM('Pro Forma'!$W53:INDEX('Pro Forma'!$W53:$AZ53,1,'4. Report'!E$172))/'3.1 Investor Splits'!$K29))</f>
        <v/>
      </c>
      <c r="F193" s="151" t="str">
        <f>IF(E193="","",IF(AND($B193="GP",'3.1 Investor Splits'!$F$11="No"),"-",SUM('Pro Forma'!$W53:INDEX('Pro Forma'!$W53:$AZ53,1,'4. Report'!F$172))/'3.1 Investor Splits'!$K29))</f>
        <v/>
      </c>
      <c r="G193" s="151" t="str">
        <f>IF(F193="","",IF(AND($B193="GP",'3.1 Investor Splits'!$F$11="No"),"-",SUM('Pro Forma'!$W53:INDEX('Pro Forma'!$W53:$AZ53,1,'4. Report'!G$172))/'3.1 Investor Splits'!$K29))</f>
        <v/>
      </c>
      <c r="H193" s="151" t="str">
        <f>IF(G193="","",IF(AND($B193="GP",'3.1 Investor Splits'!$F$11="No"),"-",SUM('Pro Forma'!$W53:INDEX('Pro Forma'!$W53:$AZ53,1,'4. Report'!H$172))/'3.1 Investor Splits'!$K29))</f>
        <v/>
      </c>
      <c r="I193" s="151" t="str">
        <f>IF(H193="","",IF(AND($B193="GP",'3.1 Investor Splits'!$F$11="No"),"-",SUM('Pro Forma'!$W53:INDEX('Pro Forma'!$W53:$AZ53,1,'4. Report'!I$172))/'3.1 Investor Splits'!$K29))</f>
        <v/>
      </c>
      <c r="J193" s="151" t="str">
        <f>IF(I193="","",IF(AND($B193="GP",'3.1 Investor Splits'!$F$11="No"),"-",SUM('Pro Forma'!$W53:INDEX('Pro Forma'!$W53:$AZ53,1,'4. Report'!J$172))/'3.1 Investor Splits'!$K29))</f>
        <v/>
      </c>
      <c r="K193" s="151" t="str">
        <f>IF(J193="","",IF(AND($B193="GP",'3.1 Investor Splits'!$F$11="No"),"-",SUM('Pro Forma'!$W53:INDEX('Pro Forma'!$W53:$AZ53,1,'4. Report'!K$172))/'3.1 Investor Splits'!$K29))</f>
        <v/>
      </c>
      <c r="L193" s="152" t="str">
        <f>IF(K193="","",IF(AND($B193="GP",'3.1 Investor Splits'!$F$11="No"),"-",SUM('Pro Forma'!$W53:INDEX('Pro Forma'!$W53:$AZ53,1,'4. Report'!L$172))/'3.1 Investor Splits'!$K29))</f>
        <v/>
      </c>
    </row>
    <row r="194" spans="2:12" x14ac:dyDescent="0.2">
      <c r="B194" s="233" t="str">
        <f t="shared" si="11"/>
        <v/>
      </c>
      <c r="C194" s="242" t="str">
        <f>IF(B194="","",IF(AND($B194="GP",'3.1 Investor Splits'!$F$11="No"),"-",SUM('Pro Forma'!$W54:INDEX('Pro Forma'!$W54:$AZ54,1,'4. Report'!C$172))/'3.1 Investor Splits'!$K30))</f>
        <v/>
      </c>
      <c r="D194" s="153" t="str">
        <f>IF(C194="","",IF(AND($B194="GP",'3.1 Investor Splits'!$F$11="No"),"-",SUM('Pro Forma'!$W54:INDEX('Pro Forma'!$W54:$AZ54,1,'4. Report'!D$172))/'3.1 Investor Splits'!$K30))</f>
        <v/>
      </c>
      <c r="E194" s="153" t="str">
        <f>IF(D194="","",IF(AND($B194="GP",'3.1 Investor Splits'!$F$11="No"),"-",SUM('Pro Forma'!$W54:INDEX('Pro Forma'!$W54:$AZ54,1,'4. Report'!E$172))/'3.1 Investor Splits'!$K30))</f>
        <v/>
      </c>
      <c r="F194" s="153" t="str">
        <f>IF(E194="","",IF(AND($B194="GP",'3.1 Investor Splits'!$F$11="No"),"-",SUM('Pro Forma'!$W54:INDEX('Pro Forma'!$W54:$AZ54,1,'4. Report'!F$172))/'3.1 Investor Splits'!$K30))</f>
        <v/>
      </c>
      <c r="G194" s="153" t="str">
        <f>IF(F194="","",IF(AND($B194="GP",'3.1 Investor Splits'!$F$11="No"),"-",SUM('Pro Forma'!$W54:INDEX('Pro Forma'!$W54:$AZ54,1,'4. Report'!G$172))/'3.1 Investor Splits'!$K30))</f>
        <v/>
      </c>
      <c r="H194" s="153" t="str">
        <f>IF(G194="","",IF(AND($B194="GP",'3.1 Investor Splits'!$F$11="No"),"-",SUM('Pro Forma'!$W54:INDEX('Pro Forma'!$W54:$AZ54,1,'4. Report'!H$172))/'3.1 Investor Splits'!$K30))</f>
        <v/>
      </c>
      <c r="I194" s="153" t="str">
        <f>IF(H194="","",IF(AND($B194="GP",'3.1 Investor Splits'!$F$11="No"),"-",SUM('Pro Forma'!$W54:INDEX('Pro Forma'!$W54:$AZ54,1,'4. Report'!I$172))/'3.1 Investor Splits'!$K30))</f>
        <v/>
      </c>
      <c r="J194" s="153" t="str">
        <f>IF(I194="","",IF(AND($B194="GP",'3.1 Investor Splits'!$F$11="No"),"-",SUM('Pro Forma'!$W54:INDEX('Pro Forma'!$W54:$AZ54,1,'4. Report'!J$172))/'3.1 Investor Splits'!$K30))</f>
        <v/>
      </c>
      <c r="K194" s="153" t="str">
        <f>IF(J194="","",IF(AND($B194="GP",'3.1 Investor Splits'!$F$11="No"),"-",SUM('Pro Forma'!$W54:INDEX('Pro Forma'!$W54:$AZ54,1,'4. Report'!K$172))/'3.1 Investor Splits'!$K30))</f>
        <v/>
      </c>
      <c r="L194" s="154" t="str">
        <f>IF(K194="","",IF(AND($B194="GP",'3.1 Investor Splits'!$F$11="No"),"-",SUM('Pro Forma'!$W54:INDEX('Pro Forma'!$W54:$AZ54,1,'4. Report'!L$172))/'3.1 Investor Splits'!$K30))</f>
        <v/>
      </c>
    </row>
  </sheetData>
  <mergeCells count="63">
    <mergeCell ref="B11:E12"/>
    <mergeCell ref="B145:E145"/>
    <mergeCell ref="C150:L150"/>
    <mergeCell ref="C174:L174"/>
    <mergeCell ref="B121:E121"/>
    <mergeCell ref="B98:E98"/>
    <mergeCell ref="D101:E101"/>
    <mergeCell ref="G101:H101"/>
    <mergeCell ref="J101:L101"/>
    <mergeCell ref="J100:L100"/>
    <mergeCell ref="G100:H100"/>
    <mergeCell ref="D100:E100"/>
    <mergeCell ref="B86:E86"/>
    <mergeCell ref="J92:L92"/>
    <mergeCell ref="J89:L89"/>
    <mergeCell ref="F92:H92"/>
    <mergeCell ref="F89:H89"/>
    <mergeCell ref="F91:H91"/>
    <mergeCell ref="J91:L91"/>
    <mergeCell ref="J88:L88"/>
    <mergeCell ref="F88:H88"/>
    <mergeCell ref="B55:C55"/>
    <mergeCell ref="B65:C65"/>
    <mergeCell ref="B73:C73"/>
    <mergeCell ref="B72:C72"/>
    <mergeCell ref="B68:C68"/>
    <mergeCell ref="B67:C67"/>
    <mergeCell ref="B56:C56"/>
    <mergeCell ref="B61:C61"/>
    <mergeCell ref="B60:C60"/>
    <mergeCell ref="B58:C58"/>
    <mergeCell ref="B57:C57"/>
    <mergeCell ref="B80:C80"/>
    <mergeCell ref="B71:C71"/>
    <mergeCell ref="B64:C64"/>
    <mergeCell ref="B63:C63"/>
    <mergeCell ref="B62:C62"/>
    <mergeCell ref="B74:C74"/>
    <mergeCell ref="B76:C76"/>
    <mergeCell ref="B78:C78"/>
    <mergeCell ref="B69:C69"/>
    <mergeCell ref="L47:M47"/>
    <mergeCell ref="I47:J47"/>
    <mergeCell ref="F47:G47"/>
    <mergeCell ref="L46:M46"/>
    <mergeCell ref="I46:J46"/>
    <mergeCell ref="F46:G46"/>
    <mergeCell ref="B47:C48"/>
    <mergeCell ref="B49:C50"/>
    <mergeCell ref="C13:F13"/>
    <mergeCell ref="D14:F14"/>
    <mergeCell ref="I53:J53"/>
    <mergeCell ref="I52:J52"/>
    <mergeCell ref="F53:G53"/>
    <mergeCell ref="F52:G52"/>
    <mergeCell ref="C34:M40"/>
    <mergeCell ref="B45:E45"/>
    <mergeCell ref="L50:M50"/>
    <mergeCell ref="L49:M49"/>
    <mergeCell ref="I50:J50"/>
    <mergeCell ref="I49:J49"/>
    <mergeCell ref="F50:G50"/>
    <mergeCell ref="F49:G49"/>
  </mergeCells>
  <pageMargins left="0.7" right="0.7" top="0.75" bottom="0.75" header="0.3" footer="0.3"/>
  <pageSetup scale="43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5"/>
  </sheetPr>
  <dimension ref="B1:AZ366"/>
  <sheetViews>
    <sheetView tabSelected="1" zoomScale="80" zoomScaleNormal="80" workbookViewId="0">
      <selection activeCell="M35" sqref="M35"/>
    </sheetView>
  </sheetViews>
  <sheetFormatPr baseColWidth="10" defaultColWidth="9.1640625" defaultRowHeight="15" x14ac:dyDescent="0.2"/>
  <cols>
    <col min="1" max="1" width="3.33203125" style="5" customWidth="1"/>
    <col min="2" max="2" width="25.33203125" style="5" bestFit="1" customWidth="1"/>
    <col min="3" max="3" width="18" style="5" bestFit="1" customWidth="1"/>
    <col min="4" max="10" width="15.6640625" style="10" customWidth="1"/>
    <col min="11" max="12" width="15.6640625" style="28" customWidth="1"/>
    <col min="13" max="21" width="9.1640625" style="5"/>
    <col min="22" max="22" width="24.5" style="5" bestFit="1" customWidth="1"/>
    <col min="23" max="52" width="13.5" style="5" bestFit="1" customWidth="1"/>
    <col min="53" max="16384" width="9.1640625" style="5"/>
  </cols>
  <sheetData>
    <row r="1" spans="2:52" x14ac:dyDescent="0.2">
      <c r="D1" s="5"/>
      <c r="E1" s="5"/>
      <c r="F1" s="5"/>
      <c r="G1" s="5"/>
      <c r="H1" s="5"/>
      <c r="I1" s="5"/>
      <c r="J1" s="5"/>
      <c r="K1" s="5"/>
      <c r="L1" s="5"/>
    </row>
    <row r="2" spans="2:52" x14ac:dyDescent="0.2">
      <c r="D2" s="5"/>
      <c r="E2" s="5"/>
      <c r="F2" s="5"/>
      <c r="G2" s="5"/>
      <c r="H2" s="5"/>
      <c r="I2" s="5"/>
      <c r="J2" s="5"/>
      <c r="K2" s="5"/>
      <c r="L2" s="5"/>
    </row>
    <row r="3" spans="2:52" x14ac:dyDescent="0.2">
      <c r="D3" s="5"/>
      <c r="E3" s="5"/>
      <c r="F3" s="5"/>
      <c r="G3" s="5"/>
      <c r="H3" s="5"/>
      <c r="I3" s="5"/>
      <c r="J3" s="5"/>
      <c r="K3" s="5"/>
      <c r="L3" s="5"/>
    </row>
    <row r="4" spans="2:52" x14ac:dyDescent="0.2">
      <c r="D4" s="5"/>
      <c r="E4" s="5"/>
      <c r="F4" s="5"/>
      <c r="G4" s="5"/>
      <c r="H4" s="5"/>
      <c r="I4" s="5"/>
      <c r="J4" s="5"/>
      <c r="K4" s="5"/>
      <c r="L4" s="5"/>
    </row>
    <row r="5" spans="2:52" x14ac:dyDescent="0.2">
      <c r="D5" s="5"/>
      <c r="E5" s="5"/>
      <c r="F5" s="5"/>
      <c r="G5" s="5"/>
      <c r="H5" s="5"/>
      <c r="I5" s="5"/>
      <c r="J5" s="5"/>
      <c r="K5" s="5"/>
      <c r="L5" s="5"/>
    </row>
    <row r="6" spans="2:52" x14ac:dyDescent="0.2">
      <c r="D6" s="5"/>
      <c r="E6" s="5"/>
      <c r="F6" s="5"/>
      <c r="G6" s="5"/>
      <c r="H6" s="5"/>
      <c r="I6" s="5"/>
      <c r="J6" s="5"/>
      <c r="K6" s="5"/>
      <c r="L6" s="5"/>
    </row>
    <row r="7" spans="2:52" ht="19" x14ac:dyDescent="0.2">
      <c r="B7" s="437" t="s">
        <v>131</v>
      </c>
      <c r="C7" s="437"/>
      <c r="D7" s="437"/>
      <c r="E7" s="437"/>
      <c r="F7" s="437"/>
      <c r="G7" s="437"/>
      <c r="H7" s="437"/>
      <c r="I7" s="437"/>
      <c r="J7" s="437"/>
      <c r="K7" s="437"/>
      <c r="L7" s="437"/>
    </row>
    <row r="8" spans="2:52" ht="19" x14ac:dyDescent="0.2">
      <c r="B8" s="8"/>
      <c r="D8" s="5"/>
      <c r="E8" s="5"/>
      <c r="F8" s="5"/>
      <c r="G8" s="5"/>
      <c r="H8" s="5"/>
      <c r="I8" s="5"/>
      <c r="J8" s="5"/>
      <c r="K8" s="5"/>
      <c r="L8" s="5"/>
    </row>
    <row r="9" spans="2:52" x14ac:dyDescent="0.2">
      <c r="B9" s="438" t="s">
        <v>132</v>
      </c>
      <c r="C9" s="439"/>
      <c r="D9" s="23">
        <f>'4. Report'!D80</f>
        <v>87500</v>
      </c>
      <c r="E9" s="5"/>
      <c r="F9" s="440" t="s">
        <v>67</v>
      </c>
      <c r="G9" s="423"/>
      <c r="H9" s="24">
        <f>'2. Purchase Information'!D21</f>
        <v>0.08</v>
      </c>
      <c r="I9" s="5"/>
      <c r="J9" s="7" t="s">
        <v>68</v>
      </c>
      <c r="K9" s="25">
        <f>'2. Purchase Information'!D23</f>
        <v>15</v>
      </c>
      <c r="L9" s="5"/>
    </row>
    <row r="10" spans="2:52" x14ac:dyDescent="0.2">
      <c r="D10" s="5"/>
      <c r="E10" s="5"/>
      <c r="F10" s="5"/>
      <c r="G10" s="5"/>
      <c r="H10" s="5"/>
      <c r="I10" s="5"/>
      <c r="J10" s="5"/>
      <c r="K10" s="5"/>
      <c r="L10" s="5"/>
    </row>
    <row r="11" spans="2:52" s="9" customFormat="1" ht="30" customHeight="1" x14ac:dyDescent="0.2">
      <c r="B11" s="29"/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3">
        <v>9</v>
      </c>
      <c r="L11" s="33">
        <v>10</v>
      </c>
    </row>
    <row r="12" spans="2:52" x14ac:dyDescent="0.2">
      <c r="B12" s="11" t="s">
        <v>120</v>
      </c>
      <c r="C12" s="13">
        <f>('4. Report'!$F$46*12)*POWER(1+'3. Rent &amp; Expenses'!$D$29,C$11-1)</f>
        <v>10500</v>
      </c>
      <c r="D12" s="13">
        <f>('4. Report'!$F$46*12)*POWER(1+'3. Rent &amp; Expenses'!$D$29,D$11-1)</f>
        <v>10710</v>
      </c>
      <c r="E12" s="13">
        <f>('4. Report'!$F$46*12)*POWER(1+'3. Rent &amp; Expenses'!$D$29,E$11-1)</f>
        <v>10924.2</v>
      </c>
      <c r="F12" s="13">
        <f>('4. Report'!$F$46*12)*POWER(1+'3. Rent &amp; Expenses'!$D$29,F$11-1)</f>
        <v>11142.683999999999</v>
      </c>
      <c r="G12" s="13">
        <f>('4. Report'!$F$46*12)*POWER(1+'3. Rent &amp; Expenses'!$D$29,G$11-1)</f>
        <v>11365.537679999999</v>
      </c>
      <c r="H12" s="13">
        <f>('4. Report'!$F$46*12)*POWER(1+'3. Rent &amp; Expenses'!$D$29,H$11-1)</f>
        <v>11592.8484336</v>
      </c>
      <c r="I12" s="13">
        <f>('4. Report'!$F$46*12)*POWER(1+'3. Rent &amp; Expenses'!$D$29,I$11-1)</f>
        <v>11824.705402272</v>
      </c>
      <c r="J12" s="13">
        <f>('4. Report'!$F$46*12)*POWER(1+'3. Rent &amp; Expenses'!$D$29,J$11-1)</f>
        <v>12061.199510317438</v>
      </c>
      <c r="K12" s="13">
        <f>('4. Report'!$F$46*12)*POWER(1+'3. Rent &amp; Expenses'!$D$29,K$11-1)</f>
        <v>12302.423500523788</v>
      </c>
      <c r="L12" s="14">
        <f>('4. Report'!$F$46*12)*POWER(1+'3. Rent &amp; Expenses'!$D$29,L$11-1)</f>
        <v>12548.471970534263</v>
      </c>
    </row>
    <row r="13" spans="2:52" ht="3" customHeight="1" x14ac:dyDescent="0.2">
      <c r="B13" s="15"/>
      <c r="C13" s="17"/>
      <c r="D13" s="17"/>
      <c r="E13" s="17"/>
      <c r="F13" s="17"/>
      <c r="G13" s="17"/>
      <c r="H13" s="17"/>
      <c r="I13" s="17"/>
      <c r="J13" s="17"/>
      <c r="K13" s="17"/>
      <c r="L13" s="39"/>
    </row>
    <row r="14" spans="2:52" x14ac:dyDescent="0.2">
      <c r="B14" s="15" t="s">
        <v>121</v>
      </c>
      <c r="C14" s="17">
        <f>SUM(C15:C16)</f>
        <v>4518</v>
      </c>
      <c r="D14" s="17">
        <f t="shared" ref="D14:L14" si="0">SUM(D15:D16)</f>
        <v>4608.3599999999997</v>
      </c>
      <c r="E14" s="17">
        <f t="shared" si="0"/>
        <v>4700.5271999999995</v>
      </c>
      <c r="F14" s="17">
        <f t="shared" si="0"/>
        <v>4794.5377439999993</v>
      </c>
      <c r="G14" s="17">
        <f t="shared" si="0"/>
        <v>4890.42849888</v>
      </c>
      <c r="H14" s="17">
        <f t="shared" si="0"/>
        <v>4988.2370688576002</v>
      </c>
      <c r="I14" s="17">
        <f t="shared" si="0"/>
        <v>5088.0018102347522</v>
      </c>
      <c r="J14" s="17">
        <f t="shared" si="0"/>
        <v>5189.7618464394463</v>
      </c>
      <c r="K14" s="17">
        <f t="shared" si="0"/>
        <v>5293.5570833682359</v>
      </c>
      <c r="L14" s="18">
        <f t="shared" si="0"/>
        <v>5399.4282250356</v>
      </c>
    </row>
    <row r="15" spans="2:52" x14ac:dyDescent="0.2">
      <c r="B15" s="34" t="s">
        <v>122</v>
      </c>
      <c r="C15" s="17">
        <f>('4. Report'!$D$74*12)*POWER(1+'4. Report'!$D$100,C$11-1)</f>
        <v>4518</v>
      </c>
      <c r="D15" s="17">
        <f>('4. Report'!$D$74*12)*POWER(1+'4. Report'!$D$100,D$11-1)</f>
        <v>4608.3599999999997</v>
      </c>
      <c r="E15" s="17">
        <f>('4. Report'!$D$74*12)*POWER(1+'4. Report'!$D$100,E$11-1)</f>
        <v>4700.5271999999995</v>
      </c>
      <c r="F15" s="17">
        <f>('4. Report'!$D$74*12)*POWER(1+'4. Report'!$D$100,F$11-1)</f>
        <v>4794.5377439999993</v>
      </c>
      <c r="G15" s="17">
        <f>('4. Report'!$D$74*12)*POWER(1+'4. Report'!$D$100,G$11-1)</f>
        <v>4890.42849888</v>
      </c>
      <c r="H15" s="17">
        <f>('4. Report'!$D$74*12)*POWER(1+'4. Report'!$D$100,H$11-1)</f>
        <v>4988.2370688576002</v>
      </c>
      <c r="I15" s="17">
        <f>('4. Report'!$D$74*12)*POWER(1+'4. Report'!$D$100,I$11-1)</f>
        <v>5088.0018102347522</v>
      </c>
      <c r="J15" s="17">
        <f>('4. Report'!$D$74*12)*POWER(1+'4. Report'!$D$100,J$11-1)</f>
        <v>5189.7618464394463</v>
      </c>
      <c r="K15" s="17">
        <f>('4. Report'!$D$74*12)*POWER(1+'4. Report'!$D$100,K$11-1)</f>
        <v>5293.5570833682359</v>
      </c>
      <c r="L15" s="18">
        <f>('4. Report'!$D$74*12)*POWER(1+'4. Report'!$D$100,L$11-1)</f>
        <v>5399.4282250356</v>
      </c>
      <c r="W15" s="5" t="str">
        <f>"Year "&amp;COLUMN()-COLUMN($V$1)</f>
        <v>Year 1</v>
      </c>
      <c r="X15" s="5" t="str">
        <f t="shared" ref="X15:AZ15" si="1">"Year "&amp;COLUMN()-COLUMN($V$1)</f>
        <v>Year 2</v>
      </c>
      <c r="Y15" s="5" t="str">
        <f>"Year "&amp;COLUMN()-COLUMN($V$1)</f>
        <v>Year 3</v>
      </c>
      <c r="Z15" s="5" t="str">
        <f t="shared" si="1"/>
        <v>Year 4</v>
      </c>
      <c r="AA15" s="5" t="str">
        <f t="shared" si="1"/>
        <v>Year 5</v>
      </c>
      <c r="AB15" s="5" t="str">
        <f t="shared" si="1"/>
        <v>Year 6</v>
      </c>
      <c r="AC15" s="5" t="str">
        <f t="shared" si="1"/>
        <v>Year 7</v>
      </c>
      <c r="AD15" s="5" t="str">
        <f t="shared" si="1"/>
        <v>Year 8</v>
      </c>
      <c r="AE15" s="5" t="str">
        <f t="shared" si="1"/>
        <v>Year 9</v>
      </c>
      <c r="AF15" s="5" t="str">
        <f t="shared" si="1"/>
        <v>Year 10</v>
      </c>
      <c r="AG15" s="5" t="str">
        <f t="shared" si="1"/>
        <v>Year 11</v>
      </c>
      <c r="AH15" s="5" t="str">
        <f t="shared" si="1"/>
        <v>Year 12</v>
      </c>
      <c r="AI15" s="5" t="str">
        <f t="shared" si="1"/>
        <v>Year 13</v>
      </c>
      <c r="AJ15" s="5" t="str">
        <f t="shared" si="1"/>
        <v>Year 14</v>
      </c>
      <c r="AK15" s="5" t="str">
        <f t="shared" si="1"/>
        <v>Year 15</v>
      </c>
      <c r="AL15" s="5" t="str">
        <f t="shared" si="1"/>
        <v>Year 16</v>
      </c>
      <c r="AM15" s="5" t="str">
        <f t="shared" si="1"/>
        <v>Year 17</v>
      </c>
      <c r="AN15" s="5" t="str">
        <f t="shared" si="1"/>
        <v>Year 18</v>
      </c>
      <c r="AO15" s="5" t="str">
        <f t="shared" si="1"/>
        <v>Year 19</v>
      </c>
      <c r="AP15" s="5" t="str">
        <f t="shared" si="1"/>
        <v>Year 20</v>
      </c>
      <c r="AQ15" s="5" t="str">
        <f t="shared" si="1"/>
        <v>Year 21</v>
      </c>
      <c r="AR15" s="5" t="str">
        <f t="shared" si="1"/>
        <v>Year 22</v>
      </c>
      <c r="AS15" s="5" t="str">
        <f t="shared" si="1"/>
        <v>Year 23</v>
      </c>
      <c r="AT15" s="5" t="str">
        <f t="shared" si="1"/>
        <v>Year 24</v>
      </c>
      <c r="AU15" s="5" t="str">
        <f t="shared" si="1"/>
        <v>Year 25</v>
      </c>
      <c r="AV15" s="5" t="str">
        <f t="shared" si="1"/>
        <v>Year 26</v>
      </c>
      <c r="AW15" s="5" t="str">
        <f t="shared" si="1"/>
        <v>Year 27</v>
      </c>
      <c r="AX15" s="5" t="str">
        <f t="shared" si="1"/>
        <v>Year 28</v>
      </c>
      <c r="AY15" s="5" t="str">
        <f t="shared" si="1"/>
        <v>Year 29</v>
      </c>
      <c r="AZ15" s="5" t="str">
        <f t="shared" si="1"/>
        <v>Year 30</v>
      </c>
    </row>
    <row r="16" spans="2:52" ht="16" thickBot="1" x14ac:dyDescent="0.25">
      <c r="B16" s="35" t="s">
        <v>123</v>
      </c>
      <c r="C16" s="36">
        <f>SUM(INDEX('Debt Payment (Monthly)'!$B$12:$K$371,('Pro Forma'!C11-1)*12+1,4):INDEX('Debt Payment (Monthly)'!$B$12:$K$371,('Pro Forma'!C11-1)*12+12,4))</f>
        <v>0</v>
      </c>
      <c r="D16" s="36">
        <f>SUM(INDEX('Debt Payment (Monthly)'!$B$12:$K$371,('Pro Forma'!D11-1)*12+1,4):INDEX('Debt Payment (Monthly)'!$B$12:$K$371,('Pro Forma'!D11-1)*12+12,4))</f>
        <v>0</v>
      </c>
      <c r="E16" s="36">
        <f>SUM(INDEX('Debt Payment (Monthly)'!$B$12:$K$371,('Pro Forma'!E11-1)*12+1,4):INDEX('Debt Payment (Monthly)'!$B$12:$K$371,('Pro Forma'!E11-1)*12+12,4))</f>
        <v>0</v>
      </c>
      <c r="F16" s="36">
        <f>SUM(INDEX('Debt Payment (Monthly)'!$B$12:$K$371,('Pro Forma'!F11-1)*12+1,4):INDEX('Debt Payment (Monthly)'!$B$12:$K$371,('Pro Forma'!F11-1)*12+12,4))</f>
        <v>0</v>
      </c>
      <c r="G16" s="36">
        <f>SUM(INDEX('Debt Payment (Monthly)'!$B$12:$K$371,('Pro Forma'!G11-1)*12+1,4):INDEX('Debt Payment (Monthly)'!$B$12:$K$371,('Pro Forma'!G11-1)*12+12,4))</f>
        <v>0</v>
      </c>
      <c r="H16" s="36">
        <f>SUM(INDEX('Debt Payment (Monthly)'!$B$12:$K$371,('Pro Forma'!H11-1)*12+1,4):INDEX('Debt Payment (Monthly)'!$B$12:$K$371,('Pro Forma'!H11-1)*12+12,4))</f>
        <v>0</v>
      </c>
      <c r="I16" s="36">
        <f>SUM(INDEX('Debt Payment (Monthly)'!$B$12:$K$371,('Pro Forma'!I11-1)*12+1,4):INDEX('Debt Payment (Monthly)'!$B$12:$K$371,('Pro Forma'!I11-1)*12+12,4))</f>
        <v>0</v>
      </c>
      <c r="J16" s="36">
        <f>SUM(INDEX('Debt Payment (Monthly)'!$B$12:$K$371,('Pro Forma'!J11-1)*12+1,4):INDEX('Debt Payment (Monthly)'!$B$12:$K$371,('Pro Forma'!J11-1)*12+12,4))</f>
        <v>0</v>
      </c>
      <c r="K16" s="36">
        <f>SUM(INDEX('Debt Payment (Monthly)'!$B$12:$K$371,('Pro Forma'!K11-1)*12+1,4):INDEX('Debt Payment (Monthly)'!$B$12:$K$371,('Pro Forma'!K11-1)*12+12,4))</f>
        <v>0</v>
      </c>
      <c r="L16" s="40">
        <f>SUM(INDEX('Debt Payment (Monthly)'!$B$12:$K$371,('Pro Forma'!L11-1)*12+1,4):INDEX('Debt Payment (Monthly)'!$B$12:$K$371,('Pro Forma'!L11-1)*12+12,4))</f>
        <v>0</v>
      </c>
      <c r="V16" s="11" t="s">
        <v>120</v>
      </c>
      <c r="W16" s="13">
        <f>C12</f>
        <v>10500</v>
      </c>
      <c r="X16" s="13">
        <f t="shared" ref="X16:AF16" si="2">D12</f>
        <v>10710</v>
      </c>
      <c r="Y16" s="13">
        <f t="shared" si="2"/>
        <v>10924.2</v>
      </c>
      <c r="Z16" s="13">
        <f t="shared" si="2"/>
        <v>11142.683999999999</v>
      </c>
      <c r="AA16" s="13">
        <f t="shared" si="2"/>
        <v>11365.537679999999</v>
      </c>
      <c r="AB16" s="13">
        <f t="shared" si="2"/>
        <v>11592.8484336</v>
      </c>
      <c r="AC16" s="13">
        <f t="shared" si="2"/>
        <v>11824.705402272</v>
      </c>
      <c r="AD16" s="13">
        <f t="shared" si="2"/>
        <v>12061.199510317438</v>
      </c>
      <c r="AE16" s="13">
        <f t="shared" si="2"/>
        <v>12302.423500523788</v>
      </c>
      <c r="AF16" s="13">
        <f t="shared" si="2"/>
        <v>12548.471970534263</v>
      </c>
      <c r="AG16" s="13">
        <f>C29</f>
        <v>12799.44140994495</v>
      </c>
      <c r="AH16" s="13">
        <f t="shared" ref="AH16:AP16" si="3">D29</f>
        <v>13055.430238143847</v>
      </c>
      <c r="AI16" s="13">
        <f t="shared" si="3"/>
        <v>13316.538842906726</v>
      </c>
      <c r="AJ16" s="13">
        <f t="shared" si="3"/>
        <v>13582.869619764859</v>
      </c>
      <c r="AK16" s="13">
        <f t="shared" si="3"/>
        <v>13854.527012160157</v>
      </c>
      <c r="AL16" s="13">
        <f t="shared" si="3"/>
        <v>14131.617552403357</v>
      </c>
      <c r="AM16" s="13">
        <f t="shared" si="3"/>
        <v>14414.249903451426</v>
      </c>
      <c r="AN16" s="13">
        <f t="shared" si="3"/>
        <v>14702.534901520456</v>
      </c>
      <c r="AO16" s="13">
        <f t="shared" si="3"/>
        <v>14996.585599550863</v>
      </c>
      <c r="AP16" s="13">
        <f t="shared" si="3"/>
        <v>15296.51731154188</v>
      </c>
      <c r="AQ16" s="13">
        <f>C44</f>
        <v>15602.44765777272</v>
      </c>
      <c r="AR16" s="13">
        <f t="shared" ref="AR16:AZ16" si="4">D44</f>
        <v>15914.496610928172</v>
      </c>
      <c r="AS16" s="13">
        <f t="shared" si="4"/>
        <v>16232.786543146736</v>
      </c>
      <c r="AT16" s="13">
        <f t="shared" si="4"/>
        <v>16557.442274009671</v>
      </c>
      <c r="AU16" s="13">
        <f t="shared" si="4"/>
        <v>16888.591119489862</v>
      </c>
      <c r="AV16" s="13">
        <f t="shared" si="4"/>
        <v>17226.362941879659</v>
      </c>
      <c r="AW16" s="13">
        <f t="shared" si="4"/>
        <v>17570.890200717255</v>
      </c>
      <c r="AX16" s="13">
        <f t="shared" si="4"/>
        <v>17922.308004731596</v>
      </c>
      <c r="AY16" s="13">
        <f t="shared" si="4"/>
        <v>18280.754164826234</v>
      </c>
      <c r="AZ16" s="13">
        <f t="shared" si="4"/>
        <v>18646.369248122755</v>
      </c>
    </row>
    <row r="17" spans="2:52" ht="16" thickTop="1" x14ac:dyDescent="0.2">
      <c r="B17" s="15" t="s">
        <v>124</v>
      </c>
      <c r="C17" s="17">
        <f>C12-C14</f>
        <v>5982</v>
      </c>
      <c r="D17" s="17">
        <f t="shared" ref="D17:L17" si="5">D12-D14</f>
        <v>6101.64</v>
      </c>
      <c r="E17" s="17">
        <f t="shared" si="5"/>
        <v>6223.6728000000012</v>
      </c>
      <c r="F17" s="17">
        <f t="shared" si="5"/>
        <v>6348.146256</v>
      </c>
      <c r="G17" s="17">
        <f t="shared" si="5"/>
        <v>6475.1091811199994</v>
      </c>
      <c r="H17" s="17">
        <f t="shared" si="5"/>
        <v>6604.6113647423999</v>
      </c>
      <c r="I17" s="17">
        <f t="shared" si="5"/>
        <v>6736.7035920372482</v>
      </c>
      <c r="J17" s="17">
        <f t="shared" si="5"/>
        <v>6871.4376638779913</v>
      </c>
      <c r="K17" s="17">
        <f t="shared" si="5"/>
        <v>7008.866417155552</v>
      </c>
      <c r="L17" s="18">
        <f t="shared" si="5"/>
        <v>7149.0437454986632</v>
      </c>
      <c r="V17" s="15" t="s">
        <v>121</v>
      </c>
      <c r="W17" s="17">
        <f>C14</f>
        <v>4518</v>
      </c>
      <c r="X17" s="17">
        <f t="shared" ref="X17:AF17" si="6">D14</f>
        <v>4608.3599999999997</v>
      </c>
      <c r="Y17" s="17">
        <f t="shared" si="6"/>
        <v>4700.5271999999995</v>
      </c>
      <c r="Z17" s="17">
        <f t="shared" si="6"/>
        <v>4794.5377439999993</v>
      </c>
      <c r="AA17" s="17">
        <f t="shared" si="6"/>
        <v>4890.42849888</v>
      </c>
      <c r="AB17" s="17">
        <f t="shared" si="6"/>
        <v>4988.2370688576002</v>
      </c>
      <c r="AC17" s="17">
        <f t="shared" si="6"/>
        <v>5088.0018102347522</v>
      </c>
      <c r="AD17" s="17">
        <f t="shared" si="6"/>
        <v>5189.7618464394463</v>
      </c>
      <c r="AE17" s="17">
        <f t="shared" si="6"/>
        <v>5293.5570833682359</v>
      </c>
      <c r="AF17" s="17">
        <f t="shared" si="6"/>
        <v>5399.4282250356</v>
      </c>
      <c r="AG17" s="17">
        <f>C31</f>
        <v>5507.4167895363125</v>
      </c>
      <c r="AH17" s="17">
        <f t="shared" ref="AH17:AP17" si="7">D31</f>
        <v>5617.565125327038</v>
      </c>
      <c r="AI17" s="17">
        <f t="shared" si="7"/>
        <v>5729.9164278335793</v>
      </c>
      <c r="AJ17" s="17">
        <f t="shared" si="7"/>
        <v>5844.514756390251</v>
      </c>
      <c r="AK17" s="17">
        <f t="shared" si="7"/>
        <v>5961.4050515180561</v>
      </c>
      <c r="AL17" s="17">
        <f t="shared" si="7"/>
        <v>6080.6331525484156</v>
      </c>
      <c r="AM17" s="17">
        <f t="shared" si="7"/>
        <v>6202.2458155993854</v>
      </c>
      <c r="AN17" s="17">
        <f t="shared" si="7"/>
        <v>6326.2907319113738</v>
      </c>
      <c r="AO17" s="17">
        <f t="shared" si="7"/>
        <v>6452.8165465496004</v>
      </c>
      <c r="AP17" s="17">
        <f t="shared" si="7"/>
        <v>6581.8728774805923</v>
      </c>
      <c r="AQ17" s="17">
        <f>C45</f>
        <v>6713.5103350302043</v>
      </c>
      <c r="AR17" s="17">
        <f t="shared" ref="AR17:AZ17" si="8">D45</f>
        <v>6847.7805417308082</v>
      </c>
      <c r="AS17" s="17">
        <f t="shared" si="8"/>
        <v>6984.7361525654242</v>
      </c>
      <c r="AT17" s="17">
        <f t="shared" si="8"/>
        <v>7124.430875616732</v>
      </c>
      <c r="AU17" s="17">
        <f t="shared" si="8"/>
        <v>7266.9194931290667</v>
      </c>
      <c r="AV17" s="17">
        <f t="shared" si="8"/>
        <v>7412.2578829916483</v>
      </c>
      <c r="AW17" s="17">
        <f t="shared" si="8"/>
        <v>7560.5030406514816</v>
      </c>
      <c r="AX17" s="17">
        <f t="shared" si="8"/>
        <v>7711.7131014645101</v>
      </c>
      <c r="AY17" s="17">
        <f t="shared" si="8"/>
        <v>7865.9473634938022</v>
      </c>
      <c r="AZ17" s="17">
        <f t="shared" si="8"/>
        <v>8023.2663107636772</v>
      </c>
    </row>
    <row r="18" spans="2:52" ht="3" customHeight="1" x14ac:dyDescent="0.2">
      <c r="B18" s="15"/>
      <c r="C18" s="16"/>
      <c r="D18" s="17"/>
      <c r="E18" s="17"/>
      <c r="F18" s="17"/>
      <c r="G18" s="17"/>
      <c r="H18" s="17"/>
      <c r="I18" s="17"/>
      <c r="J18" s="17"/>
      <c r="K18" s="17"/>
      <c r="L18" s="41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7"/>
      <c r="AH18" s="17"/>
      <c r="AI18" s="17"/>
      <c r="AJ18" s="17"/>
      <c r="AK18" s="17"/>
      <c r="AL18" s="17"/>
      <c r="AM18" s="17"/>
      <c r="AN18" s="17"/>
      <c r="AO18" s="17"/>
      <c r="AP18" s="17"/>
    </row>
    <row r="19" spans="2:52" x14ac:dyDescent="0.2">
      <c r="B19" s="15" t="s">
        <v>125</v>
      </c>
      <c r="C19" s="37">
        <f>C17/'4. Report'!$D$80</f>
        <v>6.836571428571428E-2</v>
      </c>
      <c r="D19" s="37">
        <f>D17/'4. Report'!$D$80</f>
        <v>6.9733028571428574E-2</v>
      </c>
      <c r="E19" s="37">
        <f>E17/'4. Report'!$D$80</f>
        <v>7.1127689142857151E-2</v>
      </c>
      <c r="F19" s="37">
        <f>F17/'4. Report'!$D$80</f>
        <v>7.2550242925714284E-2</v>
      </c>
      <c r="G19" s="37">
        <f>G17/'4. Report'!$D$80</f>
        <v>7.4001247784228563E-2</v>
      </c>
      <c r="H19" s="37">
        <f>H17/'4. Report'!$D$80</f>
        <v>7.5481272739913147E-2</v>
      </c>
      <c r="I19" s="37">
        <f>I17/'4. Report'!$D$80</f>
        <v>7.6990898194711402E-2</v>
      </c>
      <c r="J19" s="37">
        <f>J17/'4. Report'!$D$80</f>
        <v>7.8530716158605615E-2</v>
      </c>
      <c r="K19" s="37">
        <f>K17/'4. Report'!$D$80</f>
        <v>8.0101330481777741E-2</v>
      </c>
      <c r="L19" s="42">
        <f>L17/'4. Report'!$D$80</f>
        <v>8.1703357091413298E-2</v>
      </c>
      <c r="V19" s="15" t="s">
        <v>124</v>
      </c>
      <c r="W19" s="17">
        <f>C17</f>
        <v>5982</v>
      </c>
      <c r="X19" s="17">
        <f t="shared" ref="X19:AD19" si="9">D17</f>
        <v>6101.64</v>
      </c>
      <c r="Y19" s="17">
        <f t="shared" si="9"/>
        <v>6223.6728000000012</v>
      </c>
      <c r="Z19" s="17">
        <f t="shared" si="9"/>
        <v>6348.146256</v>
      </c>
      <c r="AA19" s="17">
        <f t="shared" si="9"/>
        <v>6475.1091811199994</v>
      </c>
      <c r="AB19" s="17">
        <f t="shared" si="9"/>
        <v>6604.6113647423999</v>
      </c>
      <c r="AC19" s="17">
        <f t="shared" si="9"/>
        <v>6736.7035920372482</v>
      </c>
      <c r="AD19" s="17">
        <f t="shared" si="9"/>
        <v>6871.4376638779913</v>
      </c>
      <c r="AE19" s="17">
        <f>K17</f>
        <v>7008.866417155552</v>
      </c>
      <c r="AF19" s="17">
        <f>L17</f>
        <v>7149.0437454986632</v>
      </c>
      <c r="AG19" s="17">
        <f>C34</f>
        <v>7292.024620408637</v>
      </c>
      <c r="AH19" s="17">
        <f t="shared" ref="AH19:AP19" si="10">D34</f>
        <v>7437.8651128168085</v>
      </c>
      <c r="AI19" s="17">
        <f t="shared" si="10"/>
        <v>7586.6224150731468</v>
      </c>
      <c r="AJ19" s="17">
        <f t="shared" si="10"/>
        <v>7738.3548633746077</v>
      </c>
      <c r="AK19" s="17">
        <f t="shared" si="10"/>
        <v>7893.1219606421009</v>
      </c>
      <c r="AL19" s="17">
        <f t="shared" si="10"/>
        <v>8050.9843998549413</v>
      </c>
      <c r="AM19" s="17">
        <f t="shared" si="10"/>
        <v>8212.0040878520413</v>
      </c>
      <c r="AN19" s="17">
        <f t="shared" si="10"/>
        <v>8376.2441696090827</v>
      </c>
      <c r="AO19" s="17">
        <f t="shared" si="10"/>
        <v>8543.7690530012624</v>
      </c>
      <c r="AP19" s="17">
        <f t="shared" si="10"/>
        <v>8714.644434061287</v>
      </c>
      <c r="AQ19" s="10">
        <f>C48</f>
        <v>8888.9373227425167</v>
      </c>
      <c r="AR19" s="10">
        <f t="shared" ref="AR19:AZ19" si="11">D48</f>
        <v>9066.716069197364</v>
      </c>
      <c r="AS19" s="10">
        <f t="shared" si="11"/>
        <v>9248.050390581313</v>
      </c>
      <c r="AT19" s="10">
        <f t="shared" si="11"/>
        <v>9433.0113983929386</v>
      </c>
      <c r="AU19" s="10">
        <f t="shared" si="11"/>
        <v>9621.6716263607959</v>
      </c>
      <c r="AV19" s="10">
        <f t="shared" si="11"/>
        <v>9814.1050588880098</v>
      </c>
      <c r="AW19" s="10">
        <f t="shared" si="11"/>
        <v>10010.387160065773</v>
      </c>
      <c r="AX19" s="10">
        <f t="shared" si="11"/>
        <v>10210.594903267087</v>
      </c>
      <c r="AY19" s="10">
        <f t="shared" si="11"/>
        <v>10414.806801332432</v>
      </c>
      <c r="AZ19" s="10">
        <f t="shared" si="11"/>
        <v>10623.102937359079</v>
      </c>
    </row>
    <row r="20" spans="2:52" x14ac:dyDescent="0.2">
      <c r="B20" s="15" t="s">
        <v>126</v>
      </c>
      <c r="C20" s="17">
        <f>'4. Report'!$D$58*POWER(1+'4. Report'!$J$100,C$11)</f>
        <v>89760</v>
      </c>
      <c r="D20" s="17">
        <f>'4. Report'!$D$58*POWER(1+'4. Report'!$J$100,D$11)</f>
        <v>91555.199999999997</v>
      </c>
      <c r="E20" s="17">
        <f>'4. Report'!$D$58*POWER(1+'4. Report'!$J$100,E$11)</f>
        <v>93386.303999999989</v>
      </c>
      <c r="F20" s="17">
        <f>'4. Report'!$D$58*POWER(1+'4. Report'!$J$100,F$11)</f>
        <v>95254.030079999997</v>
      </c>
      <c r="G20" s="17">
        <f>'4. Report'!$D$58*POWER(1+'4. Report'!$J$100,G$11)</f>
        <v>97159.110681599996</v>
      </c>
      <c r="H20" s="17">
        <f>'4. Report'!$D$58*POWER(1+'4. Report'!$J$100,H$11)</f>
        <v>99102.292895232007</v>
      </c>
      <c r="I20" s="17">
        <f>'4. Report'!$D$58*POWER(1+'4. Report'!$J$100,I$11)</f>
        <v>101084.33875313662</v>
      </c>
      <c r="J20" s="17">
        <f>'4. Report'!$D$58*POWER(1+'4. Report'!$J$100,J$11)</f>
        <v>103106.02552819936</v>
      </c>
      <c r="K20" s="17">
        <f>'4. Report'!$D$58*POWER(1+'4. Report'!$J$100,K$11)</f>
        <v>105168.14603876336</v>
      </c>
      <c r="L20" s="18">
        <f>'4. Report'!$D$58*POWER(1+'4. Report'!$J$100,L$11)</f>
        <v>107271.50895953862</v>
      </c>
    </row>
    <row r="21" spans="2:52" ht="16" thickBot="1" x14ac:dyDescent="0.25">
      <c r="B21" s="38" t="s">
        <v>128</v>
      </c>
      <c r="C21" s="36">
        <f>IFERROR('4. Report'!$D$61-INDEX('Debt Payment (Yearly)'!$C$12:$K$42,MATCH(C11,'Debt Payment (Yearly)'!$C$12:$C$42,0),7),0)</f>
        <v>0</v>
      </c>
      <c r="D21" s="36">
        <f>IFERROR('4. Report'!$D$61-INDEX('Debt Payment (Yearly)'!$C$12:$K$42,MATCH(D11,'Debt Payment (Yearly)'!$C$12:$C$42,0),7),0)</f>
        <v>0</v>
      </c>
      <c r="E21" s="36">
        <f>IFERROR('4. Report'!$D$61-INDEX('Debt Payment (Yearly)'!$C$12:$K$42,MATCH(E11,'Debt Payment (Yearly)'!$C$12:$C$42,0),7),0)</f>
        <v>0</v>
      </c>
      <c r="F21" s="36">
        <f>IFERROR('4. Report'!$D$61-INDEX('Debt Payment (Yearly)'!$C$12:$K$42,MATCH(F11,'Debt Payment (Yearly)'!$C$12:$C$42,0),7),0)</f>
        <v>0</v>
      </c>
      <c r="G21" s="36">
        <f>IFERROR('4. Report'!$D$61-INDEX('Debt Payment (Yearly)'!$C$12:$K$42,MATCH(G11,'Debt Payment (Yearly)'!$C$12:$C$42,0),7),0)</f>
        <v>0</v>
      </c>
      <c r="H21" s="36">
        <f>IFERROR('4. Report'!$D$61-INDEX('Debt Payment (Yearly)'!$C$12:$K$42,MATCH(H11,'Debt Payment (Yearly)'!$C$12:$C$42,0),7),0)</f>
        <v>0</v>
      </c>
      <c r="I21" s="36">
        <f>IFERROR('4. Report'!$D$61-INDEX('Debt Payment (Yearly)'!$C$12:$K$42,MATCH(I11,'Debt Payment (Yearly)'!$C$12:$C$42,0),7),0)</f>
        <v>0</v>
      </c>
      <c r="J21" s="36">
        <f>IFERROR('4. Report'!$D$61-INDEX('Debt Payment (Yearly)'!$C$12:$K$42,MATCH(J11,'Debt Payment (Yearly)'!$C$12:$C$42,0),7),0)</f>
        <v>0</v>
      </c>
      <c r="K21" s="36">
        <f>IFERROR('4. Report'!$D$61-INDEX('Debt Payment (Yearly)'!$C$12:$K$42,MATCH(K11,'Debt Payment (Yearly)'!$C$12:$C$42,0),7),0)</f>
        <v>0</v>
      </c>
      <c r="L21" s="40">
        <f>IFERROR('4. Report'!$D$61-INDEX('Debt Payment (Yearly)'!$C$12:$K$42,MATCH(L11,'Debt Payment (Yearly)'!$C$12:$C$42,0),7),0)</f>
        <v>0</v>
      </c>
    </row>
    <row r="22" spans="2:52" ht="16" thickTop="1" x14ac:dyDescent="0.2">
      <c r="B22" s="15" t="s">
        <v>127</v>
      </c>
      <c r="C22" s="17">
        <f>C20-C21</f>
        <v>89760</v>
      </c>
      <c r="D22" s="17">
        <f t="shared" ref="D22:L22" si="12">D20-D21</f>
        <v>91555.199999999997</v>
      </c>
      <c r="E22" s="17">
        <f t="shared" si="12"/>
        <v>93386.303999999989</v>
      </c>
      <c r="F22" s="17">
        <f t="shared" si="12"/>
        <v>95254.030079999997</v>
      </c>
      <c r="G22" s="17">
        <f t="shared" si="12"/>
        <v>97159.110681599996</v>
      </c>
      <c r="H22" s="17">
        <f t="shared" si="12"/>
        <v>99102.292895232007</v>
      </c>
      <c r="I22" s="17">
        <f t="shared" si="12"/>
        <v>101084.33875313662</v>
      </c>
      <c r="J22" s="17">
        <f t="shared" si="12"/>
        <v>103106.02552819936</v>
      </c>
      <c r="K22" s="17">
        <f t="shared" si="12"/>
        <v>105168.14603876336</v>
      </c>
      <c r="L22" s="18">
        <f t="shared" si="12"/>
        <v>107271.50895953862</v>
      </c>
    </row>
    <row r="23" spans="2:52" ht="3" customHeight="1" x14ac:dyDescent="0.2">
      <c r="B23" s="15"/>
      <c r="C23" s="17"/>
      <c r="D23" s="17"/>
      <c r="E23" s="17"/>
      <c r="F23" s="17"/>
      <c r="G23" s="17"/>
      <c r="H23" s="17"/>
      <c r="I23" s="17"/>
      <c r="J23" s="17"/>
      <c r="K23" s="17"/>
      <c r="L23" s="39"/>
    </row>
    <row r="24" spans="2:52" x14ac:dyDescent="0.2">
      <c r="B24" s="15" t="s">
        <v>129</v>
      </c>
      <c r="C24" s="17">
        <f>C20-C21-(C20*'3. Rent &amp; Expenses'!$J$30)+SUM('Pro Forma'!$C$17:C17)-'4. Report'!$D$80</f>
        <v>-1182.8000000000029</v>
      </c>
      <c r="D24" s="17">
        <f>D20-D21-(D20*'3. Rent &amp; Expenses'!$J$30)+SUM('Pro Forma'!$C$17:D17)-'4. Report'!$D$80</f>
        <v>6525.5439999999944</v>
      </c>
      <c r="E24" s="17">
        <f>E20-E21-(E20*'3. Rent &amp; Expenses'!$J$30)+SUM('Pro Forma'!$C$17:E17)-'4. Report'!$D$80</f>
        <v>14388.054879999996</v>
      </c>
      <c r="F24" s="17">
        <f>F20-F21-(F20*'3. Rent &amp; Expenses'!$J$30)+SUM('Pro Forma'!$C$17:F17)-'4. Report'!$D$80</f>
        <v>22407.815977599996</v>
      </c>
      <c r="G24" s="17">
        <f>G20-G21-(G20*'3. Rent &amp; Expenses'!$J$30)+SUM('Pro Forma'!$C$17:G17)-'4. Report'!$D$80</f>
        <v>30587.972297151995</v>
      </c>
      <c r="H24" s="17">
        <f>H20-H21-(H20*'3. Rent &amp; Expenses'!$J$30)+SUM('Pro Forma'!$C$17:H17)-'4. Report'!$D$80</f>
        <v>38931.73174309505</v>
      </c>
      <c r="I24" s="17">
        <f>I20-I21-(I20*'3. Rent &amp; Expenses'!$J$30)+SUM('Pro Forma'!$C$17:I17)-'4. Report'!$D$80</f>
        <v>47442.366377956932</v>
      </c>
      <c r="J24" s="17">
        <f>J20-J21-(J20*'3. Rent &amp; Expenses'!$J$30)+SUM('Pro Forma'!$C$17:J17)-'4. Report'!$D$80</f>
        <v>56123.213705516071</v>
      </c>
      <c r="K24" s="17">
        <f>K20-K21-(K20*'3. Rent &amp; Expenses'!$J$30)+SUM('Pro Forma'!$C$17:K17)-'4. Report'!$D$80</f>
        <v>64977.677979626402</v>
      </c>
      <c r="L24" s="18">
        <f>L20-L21-(L20*'3. Rent &amp; Expenses'!$J$30)+SUM('Pro Forma'!$C$17:L17)-'4. Report'!$D$80</f>
        <v>74009.231539218919</v>
      </c>
    </row>
    <row r="25" spans="2:52" x14ac:dyDescent="0.2">
      <c r="B25" s="19" t="s">
        <v>130</v>
      </c>
      <c r="C25" s="43">
        <f>RATE(C11,,-$D$9,C24+$D$9)</f>
        <v>-1.3517714285714326E-2</v>
      </c>
      <c r="D25" s="43">
        <f t="shared" ref="D25:L25" si="13">RATE(D11,,-$D$9,D24+$D$9)</f>
        <v>3.6618370334177329E-2</v>
      </c>
      <c r="E25" s="43">
        <f t="shared" si="13"/>
        <v>5.2054906400653599E-2</v>
      </c>
      <c r="F25" s="43">
        <f t="shared" si="13"/>
        <v>5.8656653221533267E-2</v>
      </c>
      <c r="G25" s="43">
        <f t="shared" si="13"/>
        <v>6.1792179965019935E-2</v>
      </c>
      <c r="H25" s="43">
        <f t="shared" si="13"/>
        <v>6.3264560990375987E-2</v>
      </c>
      <c r="I25" s="43">
        <f t="shared" si="13"/>
        <v>6.3842120462851315E-2</v>
      </c>
      <c r="J25" s="43">
        <f t="shared" si="13"/>
        <v>6.3903097708301798E-2</v>
      </c>
      <c r="K25" s="43">
        <f t="shared" si="13"/>
        <v>6.3652589771353282E-2</v>
      </c>
      <c r="L25" s="44">
        <f t="shared" si="13"/>
        <v>6.3209699057540605E-2</v>
      </c>
      <c r="W25" s="237">
        <v>1</v>
      </c>
      <c r="X25" s="237">
        <f>W25+1</f>
        <v>2</v>
      </c>
      <c r="Y25" s="237">
        <f t="shared" ref="Y25:AZ25" si="14">X25+1</f>
        <v>3</v>
      </c>
      <c r="Z25" s="237">
        <f t="shared" si="14"/>
        <v>4</v>
      </c>
      <c r="AA25" s="237">
        <f t="shared" si="14"/>
        <v>5</v>
      </c>
      <c r="AB25" s="237">
        <f t="shared" si="14"/>
        <v>6</v>
      </c>
      <c r="AC25" s="237">
        <f t="shared" si="14"/>
        <v>7</v>
      </c>
      <c r="AD25" s="237">
        <f t="shared" si="14"/>
        <v>8</v>
      </c>
      <c r="AE25" s="237">
        <f t="shared" si="14"/>
        <v>9</v>
      </c>
      <c r="AF25" s="237">
        <f t="shared" si="14"/>
        <v>10</v>
      </c>
      <c r="AG25" s="237">
        <f t="shared" si="14"/>
        <v>11</v>
      </c>
      <c r="AH25" s="237">
        <f t="shared" si="14"/>
        <v>12</v>
      </c>
      <c r="AI25" s="237">
        <f t="shared" si="14"/>
        <v>13</v>
      </c>
      <c r="AJ25" s="237">
        <f t="shared" si="14"/>
        <v>14</v>
      </c>
      <c r="AK25" s="237">
        <f t="shared" si="14"/>
        <v>15</v>
      </c>
      <c r="AL25" s="237">
        <f t="shared" si="14"/>
        <v>16</v>
      </c>
      <c r="AM25" s="237">
        <f t="shared" si="14"/>
        <v>17</v>
      </c>
      <c r="AN25" s="237">
        <f t="shared" si="14"/>
        <v>18</v>
      </c>
      <c r="AO25" s="237">
        <f t="shared" si="14"/>
        <v>19</v>
      </c>
      <c r="AP25" s="237">
        <f t="shared" si="14"/>
        <v>20</v>
      </c>
      <c r="AQ25" s="237">
        <f t="shared" si="14"/>
        <v>21</v>
      </c>
      <c r="AR25" s="237">
        <f t="shared" si="14"/>
        <v>22</v>
      </c>
      <c r="AS25" s="237">
        <f t="shared" si="14"/>
        <v>23</v>
      </c>
      <c r="AT25" s="237">
        <f t="shared" si="14"/>
        <v>24</v>
      </c>
      <c r="AU25" s="237">
        <f t="shared" si="14"/>
        <v>25</v>
      </c>
      <c r="AV25" s="237">
        <f t="shared" si="14"/>
        <v>26</v>
      </c>
      <c r="AW25" s="237">
        <f t="shared" si="14"/>
        <v>27</v>
      </c>
      <c r="AX25" s="237">
        <f t="shared" si="14"/>
        <v>28</v>
      </c>
      <c r="AY25" s="237">
        <f t="shared" si="14"/>
        <v>29</v>
      </c>
      <c r="AZ25" s="237">
        <f t="shared" si="14"/>
        <v>30</v>
      </c>
    </row>
    <row r="26" spans="2:52" x14ac:dyDescent="0.2">
      <c r="B26" s="15"/>
      <c r="C26" s="16"/>
      <c r="D26" s="17"/>
      <c r="E26" s="17"/>
      <c r="F26" s="17"/>
      <c r="G26" s="17"/>
      <c r="H26" s="17"/>
      <c r="I26" s="17"/>
      <c r="J26" s="17"/>
      <c r="K26" s="17"/>
      <c r="L26" s="41"/>
      <c r="V26" s="5" t="str">
        <f>B22</f>
        <v>Equity</v>
      </c>
      <c r="W26" s="10">
        <f>C22</f>
        <v>89760</v>
      </c>
      <c r="X26" s="10">
        <f t="shared" ref="X26:AF26" si="15">D22</f>
        <v>91555.199999999997</v>
      </c>
      <c r="Y26" s="10">
        <f t="shared" si="15"/>
        <v>93386.303999999989</v>
      </c>
      <c r="Z26" s="10">
        <f t="shared" si="15"/>
        <v>95254.030079999997</v>
      </c>
      <c r="AA26" s="10">
        <f t="shared" si="15"/>
        <v>97159.110681599996</v>
      </c>
      <c r="AB26" s="10">
        <f t="shared" si="15"/>
        <v>99102.292895232007</v>
      </c>
      <c r="AC26" s="10">
        <f t="shared" si="15"/>
        <v>101084.33875313662</v>
      </c>
      <c r="AD26" s="10">
        <f t="shared" si="15"/>
        <v>103106.02552819936</v>
      </c>
      <c r="AE26" s="10">
        <f t="shared" si="15"/>
        <v>105168.14603876336</v>
      </c>
      <c r="AF26" s="10">
        <f t="shared" si="15"/>
        <v>107271.50895953862</v>
      </c>
      <c r="AG26" s="10">
        <f>C38</f>
        <v>109416.93913872937</v>
      </c>
      <c r="AH26" s="10">
        <f t="shared" ref="AH26:AP26" si="16">D38</f>
        <v>111605.27792150398</v>
      </c>
      <c r="AI26" s="10">
        <f t="shared" si="16"/>
        <v>113837.38347993405</v>
      </c>
      <c r="AJ26" s="10">
        <f t="shared" si="16"/>
        <v>116114.13114953275</v>
      </c>
      <c r="AK26" s="10">
        <f t="shared" si="16"/>
        <v>118436.41377252337</v>
      </c>
      <c r="AL26" s="10">
        <f t="shared" si="16"/>
        <v>120805.14204797386</v>
      </c>
      <c r="AM26" s="10">
        <f t="shared" si="16"/>
        <v>123221.24488893335</v>
      </c>
      <c r="AN26" s="10">
        <f t="shared" si="16"/>
        <v>125685.66978671199</v>
      </c>
      <c r="AO26" s="10">
        <f t="shared" si="16"/>
        <v>128199.38318244624</v>
      </c>
      <c r="AP26" s="10">
        <f t="shared" si="16"/>
        <v>130763.37084609517</v>
      </c>
      <c r="AQ26" s="10">
        <f>C52</f>
        <v>133378.63826301706</v>
      </c>
      <c r="AR26" s="10">
        <f t="shared" ref="AR26:AZ26" si="17">D52</f>
        <v>136046.21102827741</v>
      </c>
      <c r="AS26" s="10">
        <f t="shared" si="17"/>
        <v>138767.13524884294</v>
      </c>
      <c r="AT26" s="10">
        <f t="shared" si="17"/>
        <v>141542.47795381979</v>
      </c>
      <c r="AU26" s="10">
        <f t="shared" si="17"/>
        <v>144373.32751289621</v>
      </c>
      <c r="AV26" s="10">
        <f t="shared" si="17"/>
        <v>147260.79406315414</v>
      </c>
      <c r="AW26" s="10">
        <f t="shared" si="17"/>
        <v>150206.00994441719</v>
      </c>
      <c r="AX26" s="10">
        <f t="shared" si="17"/>
        <v>153210.13014330558</v>
      </c>
      <c r="AY26" s="10">
        <f t="shared" si="17"/>
        <v>156274.33274617165</v>
      </c>
      <c r="AZ26" s="10">
        <f t="shared" si="17"/>
        <v>159399.8194010951</v>
      </c>
    </row>
    <row r="27" spans="2:52" x14ac:dyDescent="0.2">
      <c r="B27" s="15"/>
      <c r="C27" s="16"/>
      <c r="D27" s="17"/>
      <c r="E27" s="17"/>
      <c r="F27" s="17"/>
      <c r="G27" s="17"/>
      <c r="H27" s="17"/>
      <c r="I27" s="17"/>
      <c r="J27" s="17"/>
      <c r="K27" s="17"/>
      <c r="L27" s="41"/>
      <c r="V27" s="5" t="str">
        <f>B21</f>
        <v>Loan Balance</v>
      </c>
      <c r="W27" s="10">
        <f>C21</f>
        <v>0</v>
      </c>
      <c r="X27" s="10">
        <f t="shared" ref="X27:AF27" si="18">D21</f>
        <v>0</v>
      </c>
      <c r="Y27" s="10">
        <f t="shared" si="18"/>
        <v>0</v>
      </c>
      <c r="Z27" s="10">
        <f t="shared" si="18"/>
        <v>0</v>
      </c>
      <c r="AA27" s="10">
        <f t="shared" si="18"/>
        <v>0</v>
      </c>
      <c r="AB27" s="10">
        <f t="shared" si="18"/>
        <v>0</v>
      </c>
      <c r="AC27" s="10">
        <f t="shared" si="18"/>
        <v>0</v>
      </c>
      <c r="AD27" s="10">
        <f t="shared" si="18"/>
        <v>0</v>
      </c>
      <c r="AE27" s="10">
        <f t="shared" si="18"/>
        <v>0</v>
      </c>
      <c r="AF27" s="10">
        <f t="shared" si="18"/>
        <v>0</v>
      </c>
      <c r="AG27" s="10">
        <f>C37</f>
        <v>0</v>
      </c>
      <c r="AH27" s="10">
        <f t="shared" ref="AH27:AP27" si="19">D37</f>
        <v>0</v>
      </c>
      <c r="AI27" s="10">
        <f t="shared" si="19"/>
        <v>0</v>
      </c>
      <c r="AJ27" s="10">
        <f t="shared" si="19"/>
        <v>0</v>
      </c>
      <c r="AK27" s="10">
        <f t="shared" si="19"/>
        <v>0</v>
      </c>
      <c r="AL27" s="10">
        <f t="shared" si="19"/>
        <v>0</v>
      </c>
      <c r="AM27" s="10">
        <f t="shared" si="19"/>
        <v>0</v>
      </c>
      <c r="AN27" s="10">
        <f t="shared" si="19"/>
        <v>0</v>
      </c>
      <c r="AO27" s="10">
        <f t="shared" si="19"/>
        <v>0</v>
      </c>
      <c r="AP27" s="10">
        <f t="shared" si="19"/>
        <v>0</v>
      </c>
      <c r="AQ27" s="10">
        <f>C51</f>
        <v>0</v>
      </c>
      <c r="AR27" s="10">
        <f t="shared" ref="AR27:AZ27" si="20">D51</f>
        <v>0</v>
      </c>
      <c r="AS27" s="10">
        <f t="shared" si="20"/>
        <v>0</v>
      </c>
      <c r="AT27" s="10">
        <f t="shared" si="20"/>
        <v>0</v>
      </c>
      <c r="AU27" s="10">
        <f t="shared" si="20"/>
        <v>0</v>
      </c>
      <c r="AV27" s="10">
        <f t="shared" si="20"/>
        <v>0</v>
      </c>
      <c r="AW27" s="10">
        <f t="shared" si="20"/>
        <v>0</v>
      </c>
      <c r="AX27" s="10">
        <f t="shared" si="20"/>
        <v>0</v>
      </c>
      <c r="AY27" s="10">
        <f t="shared" si="20"/>
        <v>0</v>
      </c>
      <c r="AZ27" s="10">
        <f t="shared" si="20"/>
        <v>0</v>
      </c>
    </row>
    <row r="28" spans="2:52" x14ac:dyDescent="0.2">
      <c r="B28" s="29"/>
      <c r="C28" s="32">
        <v>11</v>
      </c>
      <c r="D28" s="32">
        <v>12</v>
      </c>
      <c r="E28" s="32">
        <v>13</v>
      </c>
      <c r="F28" s="32">
        <v>14</v>
      </c>
      <c r="G28" s="32">
        <v>15</v>
      </c>
      <c r="H28" s="32">
        <v>16</v>
      </c>
      <c r="I28" s="32">
        <v>17</v>
      </c>
      <c r="J28" s="32">
        <v>18</v>
      </c>
      <c r="K28" s="33">
        <v>19</v>
      </c>
      <c r="L28" s="33">
        <v>20</v>
      </c>
      <c r="V28" s="5" t="s">
        <v>126</v>
      </c>
      <c r="W28" s="10">
        <f>C20</f>
        <v>89760</v>
      </c>
      <c r="X28" s="10">
        <f t="shared" ref="X28:AF28" si="21">D20</f>
        <v>91555.199999999997</v>
      </c>
      <c r="Y28" s="10">
        <f t="shared" si="21"/>
        <v>93386.303999999989</v>
      </c>
      <c r="Z28" s="10">
        <f t="shared" si="21"/>
        <v>95254.030079999997</v>
      </c>
      <c r="AA28" s="10">
        <f t="shared" si="21"/>
        <v>97159.110681599996</v>
      </c>
      <c r="AB28" s="10">
        <f t="shared" si="21"/>
        <v>99102.292895232007</v>
      </c>
      <c r="AC28" s="10">
        <f t="shared" si="21"/>
        <v>101084.33875313662</v>
      </c>
      <c r="AD28" s="10">
        <f t="shared" si="21"/>
        <v>103106.02552819936</v>
      </c>
      <c r="AE28" s="10">
        <f t="shared" si="21"/>
        <v>105168.14603876336</v>
      </c>
      <c r="AF28" s="10">
        <f t="shared" si="21"/>
        <v>107271.50895953862</v>
      </c>
      <c r="AG28" s="10">
        <f>C36</f>
        <v>109416.93913872937</v>
      </c>
      <c r="AH28" s="10">
        <f t="shared" ref="AH28:AP28" si="22">D36</f>
        <v>111605.27792150398</v>
      </c>
      <c r="AI28" s="10">
        <f t="shared" si="22"/>
        <v>113837.38347993405</v>
      </c>
      <c r="AJ28" s="10">
        <f t="shared" si="22"/>
        <v>116114.13114953275</v>
      </c>
      <c r="AK28" s="10">
        <f t="shared" si="22"/>
        <v>118436.41377252337</v>
      </c>
      <c r="AL28" s="10">
        <f t="shared" si="22"/>
        <v>120805.14204797386</v>
      </c>
      <c r="AM28" s="10">
        <f t="shared" si="22"/>
        <v>123221.24488893335</v>
      </c>
      <c r="AN28" s="10">
        <f t="shared" si="22"/>
        <v>125685.66978671199</v>
      </c>
      <c r="AO28" s="10">
        <f t="shared" si="22"/>
        <v>128199.38318244624</v>
      </c>
      <c r="AP28" s="10">
        <f t="shared" si="22"/>
        <v>130763.37084609517</v>
      </c>
      <c r="AQ28" s="10">
        <f>C50</f>
        <v>133378.63826301706</v>
      </c>
      <c r="AR28" s="10">
        <f t="shared" ref="AR28:AZ28" si="23">D50</f>
        <v>136046.21102827741</v>
      </c>
      <c r="AS28" s="10">
        <f t="shared" si="23"/>
        <v>138767.13524884294</v>
      </c>
      <c r="AT28" s="10">
        <f t="shared" si="23"/>
        <v>141542.47795381979</v>
      </c>
      <c r="AU28" s="10">
        <f t="shared" si="23"/>
        <v>144373.32751289621</v>
      </c>
      <c r="AV28" s="10">
        <f t="shared" si="23"/>
        <v>147260.79406315414</v>
      </c>
      <c r="AW28" s="10">
        <f t="shared" si="23"/>
        <v>150206.00994441719</v>
      </c>
      <c r="AX28" s="10">
        <f t="shared" si="23"/>
        <v>153210.13014330558</v>
      </c>
      <c r="AY28" s="10">
        <f t="shared" si="23"/>
        <v>156274.33274617165</v>
      </c>
      <c r="AZ28" s="10">
        <f t="shared" si="23"/>
        <v>159399.8194010951</v>
      </c>
    </row>
    <row r="29" spans="2:52" x14ac:dyDescent="0.2">
      <c r="B29" s="11" t="s">
        <v>120</v>
      </c>
      <c r="C29" s="13">
        <f>('4. Report'!$F$46*12)*POWER(1+'3. Rent &amp; Expenses'!$D$29,C$28-1)</f>
        <v>12799.44140994495</v>
      </c>
      <c r="D29" s="13">
        <f>('4. Report'!$F$46*12)*POWER(1+'3. Rent &amp; Expenses'!$D$29,D$28-1)</f>
        <v>13055.430238143847</v>
      </c>
      <c r="E29" s="13">
        <f>('4. Report'!$F$46*12)*POWER(1+'3. Rent &amp; Expenses'!$D$29,E$28-1)</f>
        <v>13316.538842906726</v>
      </c>
      <c r="F29" s="13">
        <f>('4. Report'!$F$46*12)*POWER(1+'3. Rent &amp; Expenses'!$D$29,F$28-1)</f>
        <v>13582.869619764859</v>
      </c>
      <c r="G29" s="13">
        <f>('4. Report'!$F$46*12)*POWER(1+'3. Rent &amp; Expenses'!$D$29,G$28-1)</f>
        <v>13854.527012160157</v>
      </c>
      <c r="H29" s="13">
        <f>('4. Report'!$F$46*12)*POWER(1+'3. Rent &amp; Expenses'!$D$29,H$28-1)</f>
        <v>14131.617552403357</v>
      </c>
      <c r="I29" s="13">
        <f>('4. Report'!$F$46*12)*POWER(1+'3. Rent &amp; Expenses'!$D$29,I$28-1)</f>
        <v>14414.249903451426</v>
      </c>
      <c r="J29" s="13">
        <f>('4. Report'!$F$46*12)*POWER(1+'3. Rent &amp; Expenses'!$D$29,J$28-1)</f>
        <v>14702.534901520456</v>
      </c>
      <c r="K29" s="13">
        <f>('4. Report'!$F$46*12)*POWER(1+'3. Rent &amp; Expenses'!$D$29,K$28-1)</f>
        <v>14996.585599550863</v>
      </c>
      <c r="L29" s="14">
        <f>('4. Report'!$F$46*12)*POWER(1+'3. Rent &amp; Expenses'!$D$29,L$28-1)</f>
        <v>15296.51731154188</v>
      </c>
    </row>
    <row r="30" spans="2:52" ht="3" customHeight="1" x14ac:dyDescent="0.2">
      <c r="B30" s="15"/>
      <c r="C30" s="17"/>
      <c r="D30" s="17"/>
      <c r="E30" s="17"/>
      <c r="F30" s="17"/>
      <c r="G30" s="17"/>
      <c r="H30" s="17"/>
      <c r="I30" s="17"/>
      <c r="J30" s="17"/>
      <c r="K30" s="17"/>
      <c r="L30" s="18"/>
    </row>
    <row r="31" spans="2:52" x14ac:dyDescent="0.2">
      <c r="B31" s="15" t="s">
        <v>121</v>
      </c>
      <c r="C31" s="17">
        <f>SUM(C32:C33)</f>
        <v>5507.4167895363125</v>
      </c>
      <c r="D31" s="17">
        <f t="shared" ref="D31:L31" si="24">SUM(D32:D33)</f>
        <v>5617.565125327038</v>
      </c>
      <c r="E31" s="17">
        <f t="shared" si="24"/>
        <v>5729.9164278335793</v>
      </c>
      <c r="F31" s="17">
        <f t="shared" si="24"/>
        <v>5844.514756390251</v>
      </c>
      <c r="G31" s="17">
        <f t="shared" si="24"/>
        <v>5961.4050515180561</v>
      </c>
      <c r="H31" s="17">
        <f t="shared" si="24"/>
        <v>6080.6331525484156</v>
      </c>
      <c r="I31" s="17">
        <f t="shared" si="24"/>
        <v>6202.2458155993854</v>
      </c>
      <c r="J31" s="17">
        <f t="shared" si="24"/>
        <v>6326.2907319113738</v>
      </c>
      <c r="K31" s="17">
        <f t="shared" si="24"/>
        <v>6452.8165465496004</v>
      </c>
      <c r="L31" s="18">
        <f t="shared" si="24"/>
        <v>6581.8728774805923</v>
      </c>
    </row>
    <row r="32" spans="2:52" x14ac:dyDescent="0.2">
      <c r="B32" s="34" t="s">
        <v>122</v>
      </c>
      <c r="C32" s="17">
        <f>('4. Report'!$D$74*12)*POWER(1+'4. Report'!$D$100,C$28-1)</f>
        <v>5507.4167895363125</v>
      </c>
      <c r="D32" s="17">
        <f>('4. Report'!$D$74*12)*POWER(1+'4. Report'!$D$100,D$28-1)</f>
        <v>5617.565125327038</v>
      </c>
      <c r="E32" s="17">
        <f>('4. Report'!$D$74*12)*POWER(1+'4. Report'!$D$100,E$28-1)</f>
        <v>5729.9164278335793</v>
      </c>
      <c r="F32" s="17">
        <f>('4. Report'!$D$74*12)*POWER(1+'4. Report'!$D$100,F$28-1)</f>
        <v>5844.514756390251</v>
      </c>
      <c r="G32" s="17">
        <f>('4. Report'!$D$74*12)*POWER(1+'4. Report'!$D$100,G$28-1)</f>
        <v>5961.4050515180561</v>
      </c>
      <c r="H32" s="17">
        <f>('4. Report'!$D$74*12)*POWER(1+'4. Report'!$D$100,H$28-1)</f>
        <v>6080.6331525484156</v>
      </c>
      <c r="I32" s="17">
        <f>('4. Report'!$D$74*12)*POWER(1+'4. Report'!$D$100,I$28-1)</f>
        <v>6202.2458155993854</v>
      </c>
      <c r="J32" s="17">
        <f>('4. Report'!$D$74*12)*POWER(1+'4. Report'!$D$100,J$28-1)</f>
        <v>6326.2907319113738</v>
      </c>
      <c r="K32" s="17">
        <f>('4. Report'!$D$74*12)*POWER(1+'4. Report'!$D$100,K$28-1)</f>
        <v>6452.8165465496004</v>
      </c>
      <c r="L32" s="18">
        <f>('4. Report'!$D$74*12)*POWER(1+'4. Report'!$D$100,L$28-1)</f>
        <v>6581.8728774805923</v>
      </c>
      <c r="V32" s="5" t="s">
        <v>157</v>
      </c>
      <c r="W32" s="237">
        <f>W25</f>
        <v>1</v>
      </c>
      <c r="X32" s="237">
        <f t="shared" ref="X32:AZ32" si="25">X25</f>
        <v>2</v>
      </c>
      <c r="Y32" s="237">
        <f t="shared" si="25"/>
        <v>3</v>
      </c>
      <c r="Z32" s="237">
        <f t="shared" si="25"/>
        <v>4</v>
      </c>
      <c r="AA32" s="237">
        <f t="shared" si="25"/>
        <v>5</v>
      </c>
      <c r="AB32" s="237">
        <f t="shared" si="25"/>
        <v>6</v>
      </c>
      <c r="AC32" s="237">
        <f t="shared" si="25"/>
        <v>7</v>
      </c>
      <c r="AD32" s="237">
        <f t="shared" si="25"/>
        <v>8</v>
      </c>
      <c r="AE32" s="237">
        <f t="shared" si="25"/>
        <v>9</v>
      </c>
      <c r="AF32" s="237">
        <f t="shared" si="25"/>
        <v>10</v>
      </c>
      <c r="AG32" s="237">
        <f t="shared" si="25"/>
        <v>11</v>
      </c>
      <c r="AH32" s="237">
        <f t="shared" si="25"/>
        <v>12</v>
      </c>
      <c r="AI32" s="237">
        <f t="shared" si="25"/>
        <v>13</v>
      </c>
      <c r="AJ32" s="237">
        <f t="shared" si="25"/>
        <v>14</v>
      </c>
      <c r="AK32" s="237">
        <f t="shared" si="25"/>
        <v>15</v>
      </c>
      <c r="AL32" s="237">
        <f t="shared" si="25"/>
        <v>16</v>
      </c>
      <c r="AM32" s="237">
        <f t="shared" si="25"/>
        <v>17</v>
      </c>
      <c r="AN32" s="237">
        <f t="shared" si="25"/>
        <v>18</v>
      </c>
      <c r="AO32" s="237">
        <f t="shared" si="25"/>
        <v>19</v>
      </c>
      <c r="AP32" s="237">
        <f t="shared" si="25"/>
        <v>20</v>
      </c>
      <c r="AQ32" s="237">
        <f t="shared" si="25"/>
        <v>21</v>
      </c>
      <c r="AR32" s="237">
        <f t="shared" si="25"/>
        <v>22</v>
      </c>
      <c r="AS32" s="237">
        <f t="shared" si="25"/>
        <v>23</v>
      </c>
      <c r="AT32" s="237">
        <f t="shared" si="25"/>
        <v>24</v>
      </c>
      <c r="AU32" s="237">
        <f t="shared" si="25"/>
        <v>25</v>
      </c>
      <c r="AV32" s="237">
        <f t="shared" si="25"/>
        <v>26</v>
      </c>
      <c r="AW32" s="237">
        <f t="shared" si="25"/>
        <v>27</v>
      </c>
      <c r="AX32" s="237">
        <f t="shared" si="25"/>
        <v>28</v>
      </c>
      <c r="AY32" s="237">
        <f t="shared" si="25"/>
        <v>29</v>
      </c>
      <c r="AZ32" s="237">
        <f t="shared" si="25"/>
        <v>30</v>
      </c>
    </row>
    <row r="33" spans="2:52" ht="16" thickBot="1" x14ac:dyDescent="0.25">
      <c r="B33" s="35" t="s">
        <v>123</v>
      </c>
      <c r="C33" s="36">
        <f>SUM(INDEX('Debt Payment (Monthly)'!$B$12:$K$371,('Pro Forma'!C28-1)*12+1,4):INDEX('Debt Payment (Monthly)'!$B$12:$K$371,('Pro Forma'!C28-1)*12+12,4))</f>
        <v>0</v>
      </c>
      <c r="D33" s="36">
        <f>SUM(INDEX('Debt Payment (Monthly)'!$B$12:$K$371,('Pro Forma'!D28-1)*12+1,4):INDEX('Debt Payment (Monthly)'!$B$12:$K$371,('Pro Forma'!D28-1)*12+12,4))</f>
        <v>0</v>
      </c>
      <c r="E33" s="36">
        <f>SUM(INDEX('Debt Payment (Monthly)'!$B$12:$K$371,('Pro Forma'!E28-1)*12+1,4):INDEX('Debt Payment (Monthly)'!$B$12:$K$371,('Pro Forma'!E28-1)*12+12,4))</f>
        <v>0</v>
      </c>
      <c r="F33" s="36">
        <f>SUM(INDEX('Debt Payment (Monthly)'!$B$12:$K$371,('Pro Forma'!F28-1)*12+1,4):INDEX('Debt Payment (Monthly)'!$B$12:$K$371,('Pro Forma'!F28-1)*12+12,4))</f>
        <v>0</v>
      </c>
      <c r="G33" s="36">
        <f>SUM(INDEX('Debt Payment (Monthly)'!$B$12:$K$371,('Pro Forma'!G28-1)*12+1,4):INDEX('Debt Payment (Monthly)'!$B$12:$K$371,('Pro Forma'!G28-1)*12+12,4))</f>
        <v>0</v>
      </c>
      <c r="H33" s="36">
        <f>SUM(INDEX('Debt Payment (Monthly)'!$B$12:$K$371,('Pro Forma'!H28-1)*12+1,4):INDEX('Debt Payment (Monthly)'!$B$12:$K$371,('Pro Forma'!H28-1)*12+12,4))</f>
        <v>0</v>
      </c>
      <c r="I33" s="36">
        <f>SUM(INDEX('Debt Payment (Monthly)'!$B$12:$K$371,('Pro Forma'!I28-1)*12+1,4):INDEX('Debt Payment (Monthly)'!$B$12:$K$371,('Pro Forma'!I28-1)*12+12,4))</f>
        <v>0</v>
      </c>
      <c r="J33" s="36">
        <f>SUM(INDEX('Debt Payment (Monthly)'!$B$12:$K$371,('Pro Forma'!J28-1)*12+1,4):INDEX('Debt Payment (Monthly)'!$B$12:$K$371,('Pro Forma'!J28-1)*12+12,4))</f>
        <v>0</v>
      </c>
      <c r="K33" s="36">
        <f>SUM(INDEX('Debt Payment (Monthly)'!$B$12:$K$371,('Pro Forma'!K28-1)*12+1,4):INDEX('Debt Payment (Monthly)'!$B$12:$K$371,('Pro Forma'!K28-1)*12+12,4))</f>
        <v>0</v>
      </c>
      <c r="L33" s="40">
        <f>SUM(INDEX('Debt Payment (Monthly)'!$B$12:$K$371,('Pro Forma'!L28-1)*12+1,4):INDEX('Debt Payment (Monthly)'!$B$12:$K$371,('Pro Forma'!L28-1)*12+12,4))</f>
        <v>0</v>
      </c>
      <c r="V33" s="5" t="s">
        <v>124</v>
      </c>
      <c r="W33" s="10">
        <f>W19</f>
        <v>5982</v>
      </c>
      <c r="X33" s="10">
        <f t="shared" ref="X33:AZ33" si="26">X19</f>
        <v>6101.64</v>
      </c>
      <c r="Y33" s="10">
        <f t="shared" si="26"/>
        <v>6223.6728000000012</v>
      </c>
      <c r="Z33" s="10">
        <f t="shared" si="26"/>
        <v>6348.146256</v>
      </c>
      <c r="AA33" s="10">
        <f t="shared" si="26"/>
        <v>6475.1091811199994</v>
      </c>
      <c r="AB33" s="10">
        <f t="shared" si="26"/>
        <v>6604.6113647423999</v>
      </c>
      <c r="AC33" s="10">
        <f t="shared" si="26"/>
        <v>6736.7035920372482</v>
      </c>
      <c r="AD33" s="10">
        <f t="shared" si="26"/>
        <v>6871.4376638779913</v>
      </c>
      <c r="AE33" s="10">
        <f t="shared" si="26"/>
        <v>7008.866417155552</v>
      </c>
      <c r="AF33" s="10">
        <f t="shared" si="26"/>
        <v>7149.0437454986632</v>
      </c>
      <c r="AG33" s="10">
        <f t="shared" si="26"/>
        <v>7292.024620408637</v>
      </c>
      <c r="AH33" s="10">
        <f t="shared" si="26"/>
        <v>7437.8651128168085</v>
      </c>
      <c r="AI33" s="10">
        <f t="shared" si="26"/>
        <v>7586.6224150731468</v>
      </c>
      <c r="AJ33" s="10">
        <f t="shared" si="26"/>
        <v>7738.3548633746077</v>
      </c>
      <c r="AK33" s="10">
        <f t="shared" si="26"/>
        <v>7893.1219606421009</v>
      </c>
      <c r="AL33" s="10">
        <f t="shared" si="26"/>
        <v>8050.9843998549413</v>
      </c>
      <c r="AM33" s="10">
        <f t="shared" si="26"/>
        <v>8212.0040878520413</v>
      </c>
      <c r="AN33" s="10">
        <f t="shared" si="26"/>
        <v>8376.2441696090827</v>
      </c>
      <c r="AO33" s="10">
        <f t="shared" si="26"/>
        <v>8543.7690530012624</v>
      </c>
      <c r="AP33" s="10">
        <f t="shared" si="26"/>
        <v>8714.644434061287</v>
      </c>
      <c r="AQ33" s="10">
        <f t="shared" si="26"/>
        <v>8888.9373227425167</v>
      </c>
      <c r="AR33" s="10">
        <f t="shared" si="26"/>
        <v>9066.716069197364</v>
      </c>
      <c r="AS33" s="10">
        <f t="shared" si="26"/>
        <v>9248.050390581313</v>
      </c>
      <c r="AT33" s="10">
        <f t="shared" si="26"/>
        <v>9433.0113983929386</v>
      </c>
      <c r="AU33" s="10">
        <f t="shared" si="26"/>
        <v>9621.6716263607959</v>
      </c>
      <c r="AV33" s="10">
        <f t="shared" si="26"/>
        <v>9814.1050588880098</v>
      </c>
      <c r="AW33" s="10">
        <f t="shared" si="26"/>
        <v>10010.387160065773</v>
      </c>
      <c r="AX33" s="10">
        <f t="shared" si="26"/>
        <v>10210.594903267087</v>
      </c>
      <c r="AY33" s="10">
        <f t="shared" si="26"/>
        <v>10414.806801332432</v>
      </c>
      <c r="AZ33" s="10">
        <f t="shared" si="26"/>
        <v>10623.102937359079</v>
      </c>
    </row>
    <row r="34" spans="2:52" ht="16" thickTop="1" x14ac:dyDescent="0.2">
      <c r="B34" s="15" t="s">
        <v>124</v>
      </c>
      <c r="C34" s="17">
        <f>C29-C31</f>
        <v>7292.024620408637</v>
      </c>
      <c r="D34" s="17">
        <f t="shared" ref="D34:L34" si="27">D29-D31</f>
        <v>7437.8651128168085</v>
      </c>
      <c r="E34" s="17">
        <f t="shared" si="27"/>
        <v>7586.6224150731468</v>
      </c>
      <c r="F34" s="17">
        <f t="shared" si="27"/>
        <v>7738.3548633746077</v>
      </c>
      <c r="G34" s="17">
        <f t="shared" si="27"/>
        <v>7893.1219606421009</v>
      </c>
      <c r="H34" s="17">
        <f t="shared" si="27"/>
        <v>8050.9843998549413</v>
      </c>
      <c r="I34" s="17">
        <f t="shared" si="27"/>
        <v>8212.0040878520413</v>
      </c>
      <c r="J34" s="17">
        <f t="shared" si="27"/>
        <v>8376.2441696090827</v>
      </c>
      <c r="K34" s="17">
        <f t="shared" si="27"/>
        <v>8543.7690530012624</v>
      </c>
      <c r="L34" s="18">
        <f t="shared" si="27"/>
        <v>8714.644434061287</v>
      </c>
      <c r="V34" s="298" t="s">
        <v>164</v>
      </c>
      <c r="W34" s="236"/>
      <c r="X34" s="236"/>
      <c r="Y34" s="236"/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/>
      <c r="AS34" s="236"/>
      <c r="AT34" s="236"/>
      <c r="AU34" s="236"/>
      <c r="AV34" s="236"/>
      <c r="AW34" s="236"/>
      <c r="AX34" s="236"/>
      <c r="AY34" s="236"/>
      <c r="AZ34" s="236"/>
    </row>
    <row r="35" spans="2:52" x14ac:dyDescent="0.2">
      <c r="B35" s="15" t="s">
        <v>125</v>
      </c>
      <c r="C35" s="37">
        <f>C34/'4. Report'!$D$80</f>
        <v>8.3337424233241572E-2</v>
      </c>
      <c r="D35" s="37">
        <f>D34/'4. Report'!$D$80</f>
        <v>8.5004172717906376E-2</v>
      </c>
      <c r="E35" s="37">
        <f>E34/'4. Report'!$D$80</f>
        <v>8.6704256172264529E-2</v>
      </c>
      <c r="F35" s="37">
        <f>F34/'4. Report'!$D$80</f>
        <v>8.8438341295709808E-2</v>
      </c>
      <c r="G35" s="37">
        <f>G34/'4. Report'!$D$80</f>
        <v>9.0207108121624011E-2</v>
      </c>
      <c r="H35" s="37">
        <f>H34/'4. Report'!$D$80</f>
        <v>9.2011250284056476E-2</v>
      </c>
      <c r="I35" s="37">
        <f>I34/'4. Report'!$D$80</f>
        <v>9.3851475289737613E-2</v>
      </c>
      <c r="J35" s="37">
        <f>J34/'4. Report'!$D$80</f>
        <v>9.5728504795532368E-2</v>
      </c>
      <c r="K35" s="37">
        <f>K34/'4. Report'!$D$80</f>
        <v>9.7643074891442999E-2</v>
      </c>
      <c r="L35" s="42">
        <f>L34/'4. Report'!$D$80</f>
        <v>9.9595936389271847E-2</v>
      </c>
      <c r="V35" s="5" t="str">
        <f>'3.1 Investor Splits'!I11</f>
        <v>GP</v>
      </c>
      <c r="W35" s="140">
        <f>IF($V35="","",IF('3.1 Investor Splits'!$F$8="Yes",
'3.1 Investor Splits'!$L11*W$33+IF(AND($V35="GP",'3.1 Investor Splits'!$F$14="Yes"),'3. Rent &amp; Expenses'!$I$25*W$16),
IF('3.1 Investor Splits'!$J11="GP",W$33-SUM(W36:W54)+IF('3.1 Investor Splits'!$F$14="Yes",'3. Rent &amp; Expenses'!$I$25*W$16,0),IF(W$32&lt;='3.1 Investor Splits'!$F$17,'3.1 Investor Splits'!$M11*12,0))))</f>
        <v>1794.6</v>
      </c>
      <c r="X35" s="140">
        <f>IF($V35="","",IF('3.1 Investor Splits'!$F$8="Yes",
'3.1 Investor Splits'!$L11*X$33+IF(AND($V35="GP",'3.1 Investor Splits'!$F$14="Yes"),'3. Rent &amp; Expenses'!$I$25*X$16),
IF('3.1 Investor Splits'!$J11="GP",X$33-SUM(X36:X54)+IF('3.1 Investor Splits'!$F$14="Yes",'3. Rent &amp; Expenses'!$I$25*X$16,0),IF(X$32&lt;='3.1 Investor Splits'!$F$17,'3.1 Investor Splits'!$M11*12,0))))</f>
        <v>1830.492</v>
      </c>
      <c r="Y35" s="140">
        <f>IF($V35="","",IF('3.1 Investor Splits'!$F$8="Yes",
'3.1 Investor Splits'!$L11*Y$33+IF(AND($V35="GP",'3.1 Investor Splits'!$F$14="Yes"),'3. Rent &amp; Expenses'!$I$25*Y$16),
IF('3.1 Investor Splits'!$J11="GP",Y$33-SUM(Y36:Y54)+IF('3.1 Investor Splits'!$F$14="Yes",'3. Rent &amp; Expenses'!$I$25*Y$16,0),IF(Y$32&lt;='3.1 Investor Splits'!$F$17,'3.1 Investor Splits'!$M11*12,0))))</f>
        <v>1867.1018400000003</v>
      </c>
      <c r="Z35" s="140">
        <f>IF($V35="","",IF('3.1 Investor Splits'!$F$8="Yes",
'3.1 Investor Splits'!$L11*Z$33+IF(AND($V35="GP",'3.1 Investor Splits'!$F$14="Yes"),'3. Rent &amp; Expenses'!$I$25*Z$16),
IF('3.1 Investor Splits'!$J11="GP",Z$33-SUM(Z36:Z54)+IF('3.1 Investor Splits'!$F$14="Yes",'3. Rent &amp; Expenses'!$I$25*Z$16,0),IF(Z$32&lt;='3.1 Investor Splits'!$F$17,'3.1 Investor Splits'!$M11*12,0))))</f>
        <v>1904.4438768</v>
      </c>
      <c r="AA35" s="140">
        <f>IF($V35="","",IF('3.1 Investor Splits'!$F$8="Yes",
'3.1 Investor Splits'!$L11*AA$33+IF(AND($V35="GP",'3.1 Investor Splits'!$F$14="Yes"),'3. Rent &amp; Expenses'!$I$25*AA$16),
IF('3.1 Investor Splits'!$J11="GP",AA$33-SUM(AA36:AA54)+IF('3.1 Investor Splits'!$F$14="Yes",'3. Rent &amp; Expenses'!$I$25*AA$16,0),IF(AA$32&lt;='3.1 Investor Splits'!$F$17,'3.1 Investor Splits'!$M11*12,0))))</f>
        <v>1942.5327543359997</v>
      </c>
      <c r="AB35" s="140">
        <f>IF($V35="","",IF('3.1 Investor Splits'!$F$8="Yes",
'3.1 Investor Splits'!$L11*AB$33+IF(AND($V35="GP",'3.1 Investor Splits'!$F$14="Yes"),'3. Rent &amp; Expenses'!$I$25*AB$16),
IF('3.1 Investor Splits'!$J11="GP",AB$33-SUM(AB36:AB54)+IF('3.1 Investor Splits'!$F$14="Yes",'3. Rent &amp; Expenses'!$I$25*AB$16,0),IF(AB$32&lt;='3.1 Investor Splits'!$F$17,'3.1 Investor Splits'!$M11*12,0))))</f>
        <v>1981.38340942272</v>
      </c>
      <c r="AC35" s="140">
        <f>IF($V35="","",IF('3.1 Investor Splits'!$F$8="Yes",
'3.1 Investor Splits'!$L11*AC$33+IF(AND($V35="GP",'3.1 Investor Splits'!$F$14="Yes"),'3. Rent &amp; Expenses'!$I$25*AC$16),
IF('3.1 Investor Splits'!$J11="GP",AC$33-SUM(AC36:AC54)+IF('3.1 Investor Splits'!$F$14="Yes",'3. Rent &amp; Expenses'!$I$25*AC$16,0),IF(AC$32&lt;='3.1 Investor Splits'!$F$17,'3.1 Investor Splits'!$M11*12,0))))</f>
        <v>2021.0110776111744</v>
      </c>
      <c r="AD35" s="140">
        <f>IF($V35="","",IF('3.1 Investor Splits'!$F$8="Yes",
'3.1 Investor Splits'!$L11*AD$33+IF(AND($V35="GP",'3.1 Investor Splits'!$F$14="Yes"),'3. Rent &amp; Expenses'!$I$25*AD$16),
IF('3.1 Investor Splits'!$J11="GP",AD$33-SUM(AD36:AD54)+IF('3.1 Investor Splits'!$F$14="Yes",'3. Rent &amp; Expenses'!$I$25*AD$16,0),IF(AD$32&lt;='3.1 Investor Splits'!$F$17,'3.1 Investor Splits'!$M11*12,0))))</f>
        <v>2061.4312991633974</v>
      </c>
      <c r="AE35" s="140">
        <f>IF($V35="","",IF('3.1 Investor Splits'!$F$8="Yes",
'3.1 Investor Splits'!$L11*AE$33+IF(AND($V35="GP",'3.1 Investor Splits'!$F$14="Yes"),'3. Rent &amp; Expenses'!$I$25*AE$16),
IF('3.1 Investor Splits'!$J11="GP",AE$33-SUM(AE36:AE54)+IF('3.1 Investor Splits'!$F$14="Yes",'3. Rent &amp; Expenses'!$I$25*AE$16,0),IF(AE$32&lt;='3.1 Investor Splits'!$F$17,'3.1 Investor Splits'!$M11*12,0))))</f>
        <v>2102.6599251466655</v>
      </c>
      <c r="AF35" s="140">
        <f>IF($V35="","",IF('3.1 Investor Splits'!$F$8="Yes",
'3.1 Investor Splits'!$L11*AF$33+IF(AND($V35="GP",'3.1 Investor Splits'!$F$14="Yes"),'3. Rent &amp; Expenses'!$I$25*AF$16),
IF('3.1 Investor Splits'!$J11="GP",AF$33-SUM(AF36:AF54)+IF('3.1 Investor Splits'!$F$14="Yes",'3. Rent &amp; Expenses'!$I$25*AF$16,0),IF(AF$32&lt;='3.1 Investor Splits'!$F$17,'3.1 Investor Splits'!$M11*12,0))))</f>
        <v>2144.7131236495989</v>
      </c>
      <c r="AG35" s="140">
        <f>IF($V35="","",IF('3.1 Investor Splits'!$F$8="Yes",
'3.1 Investor Splits'!$L11*AG$33+IF(AND($V35="GP",'3.1 Investor Splits'!$F$14="Yes"),'3. Rent &amp; Expenses'!$I$25*AG$16),
IF('3.1 Investor Splits'!$J11="GP",AG$33-SUM(AG36:AG54)+IF('3.1 Investor Splits'!$F$14="Yes",'3. Rent &amp; Expenses'!$I$25*AG$16,0),IF(AG$32&lt;='3.1 Investor Splits'!$F$17,'3.1 Investor Splits'!$M11*12,0))))</f>
        <v>2187.6073861225909</v>
      </c>
      <c r="AH35" s="140">
        <f>IF($V35="","",IF('3.1 Investor Splits'!$F$8="Yes",
'3.1 Investor Splits'!$L11*AH$33+IF(AND($V35="GP",'3.1 Investor Splits'!$F$14="Yes"),'3. Rent &amp; Expenses'!$I$25*AH$16),
IF('3.1 Investor Splits'!$J11="GP",AH$33-SUM(AH36:AH54)+IF('3.1 Investor Splits'!$F$14="Yes",'3. Rent &amp; Expenses'!$I$25*AH$16,0),IF(AH$32&lt;='3.1 Investor Splits'!$F$17,'3.1 Investor Splits'!$M11*12,0))))</f>
        <v>2231.3595338450423</v>
      </c>
      <c r="AI35" s="140">
        <f>IF($V35="","",IF('3.1 Investor Splits'!$F$8="Yes",
'3.1 Investor Splits'!$L11*AI$33+IF(AND($V35="GP",'3.1 Investor Splits'!$F$14="Yes"),'3. Rent &amp; Expenses'!$I$25*AI$16),
IF('3.1 Investor Splits'!$J11="GP",AI$33-SUM(AI36:AI54)+IF('3.1 Investor Splits'!$F$14="Yes",'3. Rent &amp; Expenses'!$I$25*AI$16,0),IF(AI$32&lt;='3.1 Investor Splits'!$F$17,'3.1 Investor Splits'!$M11*12,0))))</f>
        <v>2275.9867245219439</v>
      </c>
      <c r="AJ35" s="140">
        <f>IF($V35="","",IF('3.1 Investor Splits'!$F$8="Yes",
'3.1 Investor Splits'!$L11*AJ$33+IF(AND($V35="GP",'3.1 Investor Splits'!$F$14="Yes"),'3. Rent &amp; Expenses'!$I$25*AJ$16),
IF('3.1 Investor Splits'!$J11="GP",AJ$33-SUM(AJ36:AJ54)+IF('3.1 Investor Splits'!$F$14="Yes",'3. Rent &amp; Expenses'!$I$25*AJ$16,0),IF(AJ$32&lt;='3.1 Investor Splits'!$F$17,'3.1 Investor Splits'!$M11*12,0))))</f>
        <v>2321.506459012382</v>
      </c>
      <c r="AK35" s="140">
        <f>IF($V35="","",IF('3.1 Investor Splits'!$F$8="Yes",
'3.1 Investor Splits'!$L11*AK$33+IF(AND($V35="GP",'3.1 Investor Splits'!$F$14="Yes"),'3. Rent &amp; Expenses'!$I$25*AK$16),
IF('3.1 Investor Splits'!$J11="GP",AK$33-SUM(AK36:AK54)+IF('3.1 Investor Splits'!$F$14="Yes",'3. Rent &amp; Expenses'!$I$25*AK$16,0),IF(AK$32&lt;='3.1 Investor Splits'!$F$17,'3.1 Investor Splits'!$M11*12,0))))</f>
        <v>2367.9365881926301</v>
      </c>
      <c r="AL35" s="140">
        <f>IF($V35="","",IF('3.1 Investor Splits'!$F$8="Yes",
'3.1 Investor Splits'!$L11*AL$33+IF(AND($V35="GP",'3.1 Investor Splits'!$F$14="Yes"),'3. Rent &amp; Expenses'!$I$25*AL$16),
IF('3.1 Investor Splits'!$J11="GP",AL$33-SUM(AL36:AL54)+IF('3.1 Investor Splits'!$F$14="Yes",'3. Rent &amp; Expenses'!$I$25*AL$16,0),IF(AL$32&lt;='3.1 Investor Splits'!$F$17,'3.1 Investor Splits'!$M11*12,0))))</f>
        <v>2415.2953199564822</v>
      </c>
      <c r="AM35" s="140">
        <f>IF($V35="","",IF('3.1 Investor Splits'!$F$8="Yes",
'3.1 Investor Splits'!$L11*AM$33+IF(AND($V35="GP",'3.1 Investor Splits'!$F$14="Yes"),'3. Rent &amp; Expenses'!$I$25*AM$16),
IF('3.1 Investor Splits'!$J11="GP",AM$33-SUM(AM36:AM54)+IF('3.1 Investor Splits'!$F$14="Yes",'3. Rent &amp; Expenses'!$I$25*AM$16,0),IF(AM$32&lt;='3.1 Investor Splits'!$F$17,'3.1 Investor Splits'!$M11*12,0))))</f>
        <v>2463.6012263556122</v>
      </c>
      <c r="AN35" s="140">
        <f>IF($V35="","",IF('3.1 Investor Splits'!$F$8="Yes",
'3.1 Investor Splits'!$L11*AN$33+IF(AND($V35="GP",'3.1 Investor Splits'!$F$14="Yes"),'3. Rent &amp; Expenses'!$I$25*AN$16),
IF('3.1 Investor Splits'!$J11="GP",AN$33-SUM(AN36:AN54)+IF('3.1 Investor Splits'!$F$14="Yes",'3. Rent &amp; Expenses'!$I$25*AN$16,0),IF(AN$32&lt;='3.1 Investor Splits'!$F$17,'3.1 Investor Splits'!$M11*12,0))))</f>
        <v>2512.8732508827247</v>
      </c>
      <c r="AO35" s="140">
        <f>IF($V35="","",IF('3.1 Investor Splits'!$F$8="Yes",
'3.1 Investor Splits'!$L11*AO$33+IF(AND($V35="GP",'3.1 Investor Splits'!$F$14="Yes"),'3. Rent &amp; Expenses'!$I$25*AO$16),
IF('3.1 Investor Splits'!$J11="GP",AO$33-SUM(AO36:AO54)+IF('3.1 Investor Splits'!$F$14="Yes",'3. Rent &amp; Expenses'!$I$25*AO$16,0),IF(AO$32&lt;='3.1 Investor Splits'!$F$17,'3.1 Investor Splits'!$M11*12,0))))</f>
        <v>2563.1307159003786</v>
      </c>
      <c r="AP35" s="140">
        <f>IF($V35="","",IF('3.1 Investor Splits'!$F$8="Yes",
'3.1 Investor Splits'!$L11*AP$33+IF(AND($V35="GP",'3.1 Investor Splits'!$F$14="Yes"),'3. Rent &amp; Expenses'!$I$25*AP$16),
IF('3.1 Investor Splits'!$J11="GP",AP$33-SUM(AP36:AP54)+IF('3.1 Investor Splits'!$F$14="Yes",'3. Rent &amp; Expenses'!$I$25*AP$16,0),IF(AP$32&lt;='3.1 Investor Splits'!$F$17,'3.1 Investor Splits'!$M11*12,0))))</f>
        <v>2614.3933302183859</v>
      </c>
      <c r="AQ35" s="140">
        <f>IF($V35="","",IF('3.1 Investor Splits'!$F$8="Yes",
'3.1 Investor Splits'!$L11*AQ$33+IF(AND($V35="GP",'3.1 Investor Splits'!$F$14="Yes"),'3. Rent &amp; Expenses'!$I$25*AQ$16),
IF('3.1 Investor Splits'!$J11="GP",AQ$33-SUM(AQ36:AQ54)+IF('3.1 Investor Splits'!$F$14="Yes",'3. Rent &amp; Expenses'!$I$25*AQ$16,0),IF(AQ$32&lt;='3.1 Investor Splits'!$F$17,'3.1 Investor Splits'!$M11*12,0))))</f>
        <v>2666.6811968227548</v>
      </c>
      <c r="AR35" s="140">
        <f>IF($V35="","",IF('3.1 Investor Splits'!$F$8="Yes",
'3.1 Investor Splits'!$L11*AR$33+IF(AND($V35="GP",'3.1 Investor Splits'!$F$14="Yes"),'3. Rent &amp; Expenses'!$I$25*AR$16),
IF('3.1 Investor Splits'!$J11="GP",AR$33-SUM(AR36:AR54)+IF('3.1 Investor Splits'!$F$14="Yes",'3. Rent &amp; Expenses'!$I$25*AR$16,0),IF(AR$32&lt;='3.1 Investor Splits'!$F$17,'3.1 Investor Splits'!$M11*12,0))))</f>
        <v>2720.0148207592092</v>
      </c>
      <c r="AS35" s="140">
        <f>IF($V35="","",IF('3.1 Investor Splits'!$F$8="Yes",
'3.1 Investor Splits'!$L11*AS$33+IF(AND($V35="GP",'3.1 Investor Splits'!$F$14="Yes"),'3. Rent &amp; Expenses'!$I$25*AS$16),
IF('3.1 Investor Splits'!$J11="GP",AS$33-SUM(AS36:AS54)+IF('3.1 Investor Splits'!$F$14="Yes",'3. Rent &amp; Expenses'!$I$25*AS$16,0),IF(AS$32&lt;='3.1 Investor Splits'!$F$17,'3.1 Investor Splits'!$M11*12,0))))</f>
        <v>2774.4151171743938</v>
      </c>
      <c r="AT35" s="140">
        <f>IF($V35="","",IF('3.1 Investor Splits'!$F$8="Yes",
'3.1 Investor Splits'!$L11*AT$33+IF(AND($V35="GP",'3.1 Investor Splits'!$F$14="Yes"),'3. Rent &amp; Expenses'!$I$25*AT$16),
IF('3.1 Investor Splits'!$J11="GP",AT$33-SUM(AT36:AT54)+IF('3.1 Investor Splits'!$F$14="Yes",'3. Rent &amp; Expenses'!$I$25*AT$16,0),IF(AT$32&lt;='3.1 Investor Splits'!$F$17,'3.1 Investor Splits'!$M11*12,0))))</f>
        <v>2829.9034195178815</v>
      </c>
      <c r="AU35" s="140">
        <f>IF($V35="","",IF('3.1 Investor Splits'!$F$8="Yes",
'3.1 Investor Splits'!$L11*AU$33+IF(AND($V35="GP",'3.1 Investor Splits'!$F$14="Yes"),'3. Rent &amp; Expenses'!$I$25*AU$16),
IF('3.1 Investor Splits'!$J11="GP",AU$33-SUM(AU36:AU54)+IF('3.1 Investor Splits'!$F$14="Yes",'3. Rent &amp; Expenses'!$I$25*AU$16,0),IF(AU$32&lt;='3.1 Investor Splits'!$F$17,'3.1 Investor Splits'!$M11*12,0))))</f>
        <v>2886.5014879082387</v>
      </c>
      <c r="AV35" s="140">
        <f>IF($V35="","",IF('3.1 Investor Splits'!$F$8="Yes",
'3.1 Investor Splits'!$L11*AV$33+IF(AND($V35="GP",'3.1 Investor Splits'!$F$14="Yes"),'3. Rent &amp; Expenses'!$I$25*AV$16),
IF('3.1 Investor Splits'!$J11="GP",AV$33-SUM(AV36:AV54)+IF('3.1 Investor Splits'!$F$14="Yes",'3. Rent &amp; Expenses'!$I$25*AV$16,0),IF(AV$32&lt;='3.1 Investor Splits'!$F$17,'3.1 Investor Splits'!$M11*12,0))))</f>
        <v>2944.2315176664029</v>
      </c>
      <c r="AW35" s="140">
        <f>IF($V35="","",IF('3.1 Investor Splits'!$F$8="Yes",
'3.1 Investor Splits'!$L11*AW$33+IF(AND($V35="GP",'3.1 Investor Splits'!$F$14="Yes"),'3. Rent &amp; Expenses'!$I$25*AW$16),
IF('3.1 Investor Splits'!$J11="GP",AW$33-SUM(AW36:AW54)+IF('3.1 Investor Splits'!$F$14="Yes",'3. Rent &amp; Expenses'!$I$25*AW$16,0),IF(AW$32&lt;='3.1 Investor Splits'!$F$17,'3.1 Investor Splits'!$M11*12,0))))</f>
        <v>3003.116148019732</v>
      </c>
      <c r="AX35" s="140">
        <f>IF($V35="","",IF('3.1 Investor Splits'!$F$8="Yes",
'3.1 Investor Splits'!$L11*AX$33+IF(AND($V35="GP",'3.1 Investor Splits'!$F$14="Yes"),'3. Rent &amp; Expenses'!$I$25*AX$16),
IF('3.1 Investor Splits'!$J11="GP",AX$33-SUM(AX36:AX54)+IF('3.1 Investor Splits'!$F$14="Yes",'3. Rent &amp; Expenses'!$I$25*AX$16,0),IF(AX$32&lt;='3.1 Investor Splits'!$F$17,'3.1 Investor Splits'!$M11*12,0))))</f>
        <v>3063.1784709801259</v>
      </c>
      <c r="AY35" s="140">
        <f>IF($V35="","",IF('3.1 Investor Splits'!$F$8="Yes",
'3.1 Investor Splits'!$L11*AY$33+IF(AND($V35="GP",'3.1 Investor Splits'!$F$14="Yes"),'3. Rent &amp; Expenses'!$I$25*AY$16),
IF('3.1 Investor Splits'!$J11="GP",AY$33-SUM(AY36:AY54)+IF('3.1 Investor Splits'!$F$14="Yes",'3. Rent &amp; Expenses'!$I$25*AY$16,0),IF(AY$32&lt;='3.1 Investor Splits'!$F$17,'3.1 Investor Splits'!$M11*12,0))))</f>
        <v>3124.4420403997296</v>
      </c>
      <c r="AZ35" s="140">
        <f>IF($V35="","",IF('3.1 Investor Splits'!$F$8="Yes",
'3.1 Investor Splits'!$L11*AZ$33+IF(AND($V35="GP",'3.1 Investor Splits'!$F$14="Yes"),'3. Rent &amp; Expenses'!$I$25*AZ$16),
IF('3.1 Investor Splits'!$J11="GP",AZ$33-SUM(AZ36:AZ54)+IF('3.1 Investor Splits'!$F$14="Yes",'3. Rent &amp; Expenses'!$I$25*AZ$16,0),IF(AZ$32&lt;='3.1 Investor Splits'!$F$17,'3.1 Investor Splits'!$M11*12,0))))</f>
        <v>3186.9308812077238</v>
      </c>
    </row>
    <row r="36" spans="2:52" x14ac:dyDescent="0.2">
      <c r="B36" s="15" t="s">
        <v>126</v>
      </c>
      <c r="C36" s="17">
        <f>'4. Report'!$D$58*POWER(1+'4. Report'!$J$100,C$28)</f>
        <v>109416.93913872937</v>
      </c>
      <c r="D36" s="17">
        <f>'4. Report'!$D$58*POWER(1+'4. Report'!$J$100,D$28)</f>
        <v>111605.27792150398</v>
      </c>
      <c r="E36" s="17">
        <f>'4. Report'!$D$58*POWER(1+'4. Report'!$J$100,E$28)</f>
        <v>113837.38347993405</v>
      </c>
      <c r="F36" s="17">
        <f>'4. Report'!$D$58*POWER(1+'4. Report'!$J$100,F$28)</f>
        <v>116114.13114953275</v>
      </c>
      <c r="G36" s="17">
        <f>'4. Report'!$D$58*POWER(1+'4. Report'!$J$100,G$28)</f>
        <v>118436.41377252337</v>
      </c>
      <c r="H36" s="17">
        <f>'4. Report'!$D$58*POWER(1+'4. Report'!$J$100,H$28)</f>
        <v>120805.14204797386</v>
      </c>
      <c r="I36" s="17">
        <f>'4. Report'!$D$58*POWER(1+'4. Report'!$J$100,I$28)</f>
        <v>123221.24488893335</v>
      </c>
      <c r="J36" s="17">
        <f>'4. Report'!$D$58*POWER(1+'4. Report'!$J$100,J$28)</f>
        <v>125685.66978671199</v>
      </c>
      <c r="K36" s="17">
        <f>'4. Report'!$D$58*POWER(1+'4. Report'!$J$100,K$28)</f>
        <v>128199.38318244624</v>
      </c>
      <c r="L36" s="18">
        <f>'4. Report'!$D$58*POWER(1+'4. Report'!$J$100,L$28)</f>
        <v>130763.37084609517</v>
      </c>
      <c r="V36" s="5" t="str">
        <f>'3.1 Investor Splits'!I12</f>
        <v>Investor 1</v>
      </c>
      <c r="W36" s="140">
        <f>IF($V36="","",IF('3.1 Investor Splits'!$F$8="Yes",
'3.1 Investor Splits'!$L12*W$33+IF(AND($V36="GP",'3.1 Investor Splits'!$F$14="Yes"),'3. Rent &amp; Expenses'!$I$25*W$16),
IF('3.1 Investor Splits'!$J12="GP",W$33-SUM(W37:W55)+IF('3.1 Investor Splits'!$F$14="Yes",'3. Rent &amp; Expenses'!$I$25*W$16,0),IF(W$32&lt;='3.1 Investor Splits'!$F$17,'3.1 Investor Splits'!$M12*12,0))))</f>
        <v>4187.3999999999996</v>
      </c>
      <c r="X36" s="140">
        <f>IF($V36="","",IF('3.1 Investor Splits'!$F$8="Yes",
'3.1 Investor Splits'!$L12*X$33+IF(AND($V36="GP",'3.1 Investor Splits'!$F$14="Yes"),'3. Rent &amp; Expenses'!$I$25*X$16),
IF('3.1 Investor Splits'!$J12="GP",X$33-SUM(X37:X55)+IF('3.1 Investor Splits'!$F$14="Yes",'3. Rent &amp; Expenses'!$I$25*X$16,0),IF(X$32&lt;='3.1 Investor Splits'!$F$17,'3.1 Investor Splits'!$M12*12,0))))</f>
        <v>4271.1480000000001</v>
      </c>
      <c r="Y36" s="140">
        <f>IF($V36="","",IF('3.1 Investor Splits'!$F$8="Yes",
'3.1 Investor Splits'!$L12*Y$33+IF(AND($V36="GP",'3.1 Investor Splits'!$F$14="Yes"),'3. Rent &amp; Expenses'!$I$25*Y$16),
IF('3.1 Investor Splits'!$J12="GP",Y$33-SUM(Y37:Y55)+IF('3.1 Investor Splits'!$F$14="Yes",'3. Rent &amp; Expenses'!$I$25*Y$16,0),IF(Y$32&lt;='3.1 Investor Splits'!$F$17,'3.1 Investor Splits'!$M12*12,0))))</f>
        <v>4356.5709600000009</v>
      </c>
      <c r="Z36" s="140">
        <f>IF($V36="","",IF('3.1 Investor Splits'!$F$8="Yes",
'3.1 Investor Splits'!$L12*Z$33+IF(AND($V36="GP",'3.1 Investor Splits'!$F$14="Yes"),'3. Rent &amp; Expenses'!$I$25*Z$16),
IF('3.1 Investor Splits'!$J12="GP",Z$33-SUM(Z37:Z55)+IF('3.1 Investor Splits'!$F$14="Yes",'3. Rent &amp; Expenses'!$I$25*Z$16,0),IF(Z$32&lt;='3.1 Investor Splits'!$F$17,'3.1 Investor Splits'!$M12*12,0))))</f>
        <v>4443.7023792</v>
      </c>
      <c r="AA36" s="140">
        <f>IF($V36="","",IF('3.1 Investor Splits'!$F$8="Yes",
'3.1 Investor Splits'!$L12*AA$33+IF(AND($V36="GP",'3.1 Investor Splits'!$F$14="Yes"),'3. Rent &amp; Expenses'!$I$25*AA$16),
IF('3.1 Investor Splits'!$J12="GP",AA$33-SUM(AA37:AA55)+IF('3.1 Investor Splits'!$F$14="Yes",'3. Rent &amp; Expenses'!$I$25*AA$16,0),IF(AA$32&lt;='3.1 Investor Splits'!$F$17,'3.1 Investor Splits'!$M12*12,0))))</f>
        <v>4532.5764267839995</v>
      </c>
      <c r="AB36" s="140">
        <f>IF($V36="","",IF('3.1 Investor Splits'!$F$8="Yes",
'3.1 Investor Splits'!$L12*AB$33+IF(AND($V36="GP",'3.1 Investor Splits'!$F$14="Yes"),'3. Rent &amp; Expenses'!$I$25*AB$16),
IF('3.1 Investor Splits'!$J12="GP",AB$33-SUM(AB37:AB55)+IF('3.1 Investor Splits'!$F$14="Yes",'3. Rent &amp; Expenses'!$I$25*AB$16,0),IF(AB$32&lt;='3.1 Investor Splits'!$F$17,'3.1 Investor Splits'!$M12*12,0))))</f>
        <v>4623.2279553196795</v>
      </c>
      <c r="AC36" s="140">
        <f>IF($V36="","",IF('3.1 Investor Splits'!$F$8="Yes",
'3.1 Investor Splits'!$L12*AC$33+IF(AND($V36="GP",'3.1 Investor Splits'!$F$14="Yes"),'3. Rent &amp; Expenses'!$I$25*AC$16),
IF('3.1 Investor Splits'!$J12="GP",AC$33-SUM(AC37:AC55)+IF('3.1 Investor Splits'!$F$14="Yes",'3. Rent &amp; Expenses'!$I$25*AC$16,0),IF(AC$32&lt;='3.1 Investor Splits'!$F$17,'3.1 Investor Splits'!$M12*12,0))))</f>
        <v>4715.6925144260731</v>
      </c>
      <c r="AD36" s="140">
        <f>IF($V36="","",IF('3.1 Investor Splits'!$F$8="Yes",
'3.1 Investor Splits'!$L12*AD$33+IF(AND($V36="GP",'3.1 Investor Splits'!$F$14="Yes"),'3. Rent &amp; Expenses'!$I$25*AD$16),
IF('3.1 Investor Splits'!$J12="GP",AD$33-SUM(AD37:AD55)+IF('3.1 Investor Splits'!$F$14="Yes",'3. Rent &amp; Expenses'!$I$25*AD$16,0),IF(AD$32&lt;='3.1 Investor Splits'!$F$17,'3.1 Investor Splits'!$M12*12,0))))</f>
        <v>4810.0063647145935</v>
      </c>
      <c r="AE36" s="140">
        <f>IF($V36="","",IF('3.1 Investor Splits'!$F$8="Yes",
'3.1 Investor Splits'!$L12*AE$33+IF(AND($V36="GP",'3.1 Investor Splits'!$F$14="Yes"),'3. Rent &amp; Expenses'!$I$25*AE$16),
IF('3.1 Investor Splits'!$J12="GP",AE$33-SUM(AE37:AE55)+IF('3.1 Investor Splits'!$F$14="Yes",'3. Rent &amp; Expenses'!$I$25*AE$16,0),IF(AE$32&lt;='3.1 Investor Splits'!$F$17,'3.1 Investor Splits'!$M12*12,0))))</f>
        <v>4906.206492008886</v>
      </c>
      <c r="AF36" s="140">
        <f>IF($V36="","",IF('3.1 Investor Splits'!$F$8="Yes",
'3.1 Investor Splits'!$L12*AF$33+IF(AND($V36="GP",'3.1 Investor Splits'!$F$14="Yes"),'3. Rent &amp; Expenses'!$I$25*AF$16),
IF('3.1 Investor Splits'!$J12="GP",AF$33-SUM(AF37:AF55)+IF('3.1 Investor Splits'!$F$14="Yes",'3. Rent &amp; Expenses'!$I$25*AF$16,0),IF(AF$32&lt;='3.1 Investor Splits'!$F$17,'3.1 Investor Splits'!$M12*12,0))))</f>
        <v>5004.3306218490643</v>
      </c>
      <c r="AG36" s="140">
        <f>IF($V36="","",IF('3.1 Investor Splits'!$F$8="Yes",
'3.1 Investor Splits'!$L12*AG$33+IF(AND($V36="GP",'3.1 Investor Splits'!$F$14="Yes"),'3. Rent &amp; Expenses'!$I$25*AG$16),
IF('3.1 Investor Splits'!$J12="GP",AG$33-SUM(AG37:AG55)+IF('3.1 Investor Splits'!$F$14="Yes",'3. Rent &amp; Expenses'!$I$25*AG$16,0),IF(AG$32&lt;='3.1 Investor Splits'!$F$17,'3.1 Investor Splits'!$M12*12,0))))</f>
        <v>5104.4172342860456</v>
      </c>
      <c r="AH36" s="140">
        <f>IF($V36="","",IF('3.1 Investor Splits'!$F$8="Yes",
'3.1 Investor Splits'!$L12*AH$33+IF(AND($V36="GP",'3.1 Investor Splits'!$F$14="Yes"),'3. Rent &amp; Expenses'!$I$25*AH$16),
IF('3.1 Investor Splits'!$J12="GP",AH$33-SUM(AH37:AH55)+IF('3.1 Investor Splits'!$F$14="Yes",'3. Rent &amp; Expenses'!$I$25*AH$16,0),IF(AH$32&lt;='3.1 Investor Splits'!$F$17,'3.1 Investor Splits'!$M12*12,0))))</f>
        <v>5206.5055789717653</v>
      </c>
      <c r="AI36" s="140">
        <f>IF($V36="","",IF('3.1 Investor Splits'!$F$8="Yes",
'3.1 Investor Splits'!$L12*AI$33+IF(AND($V36="GP",'3.1 Investor Splits'!$F$14="Yes"),'3. Rent &amp; Expenses'!$I$25*AI$16),
IF('3.1 Investor Splits'!$J12="GP",AI$33-SUM(AI37:AI55)+IF('3.1 Investor Splits'!$F$14="Yes",'3. Rent &amp; Expenses'!$I$25*AI$16,0),IF(AI$32&lt;='3.1 Investor Splits'!$F$17,'3.1 Investor Splits'!$M12*12,0))))</f>
        <v>5310.6356905512021</v>
      </c>
      <c r="AJ36" s="140">
        <f>IF($V36="","",IF('3.1 Investor Splits'!$F$8="Yes",
'3.1 Investor Splits'!$L12*AJ$33+IF(AND($V36="GP",'3.1 Investor Splits'!$F$14="Yes"),'3. Rent &amp; Expenses'!$I$25*AJ$16),
IF('3.1 Investor Splits'!$J12="GP",AJ$33-SUM(AJ37:AJ55)+IF('3.1 Investor Splits'!$F$14="Yes",'3. Rent &amp; Expenses'!$I$25*AJ$16,0),IF(AJ$32&lt;='3.1 Investor Splits'!$F$17,'3.1 Investor Splits'!$M12*12,0))))</f>
        <v>5416.8484043622248</v>
      </c>
      <c r="AK36" s="140">
        <f>IF($V36="","",IF('3.1 Investor Splits'!$F$8="Yes",
'3.1 Investor Splits'!$L12*AK$33+IF(AND($V36="GP",'3.1 Investor Splits'!$F$14="Yes"),'3. Rent &amp; Expenses'!$I$25*AK$16),
IF('3.1 Investor Splits'!$J12="GP",AK$33-SUM(AK37:AK55)+IF('3.1 Investor Splits'!$F$14="Yes",'3. Rent &amp; Expenses'!$I$25*AK$16,0),IF(AK$32&lt;='3.1 Investor Splits'!$F$17,'3.1 Investor Splits'!$M12*12,0))))</f>
        <v>5525.1853724494704</v>
      </c>
      <c r="AL36" s="140">
        <f>IF($V36="","",IF('3.1 Investor Splits'!$F$8="Yes",
'3.1 Investor Splits'!$L12*AL$33+IF(AND($V36="GP",'3.1 Investor Splits'!$F$14="Yes"),'3. Rent &amp; Expenses'!$I$25*AL$16),
IF('3.1 Investor Splits'!$J12="GP",AL$33-SUM(AL37:AL55)+IF('3.1 Investor Splits'!$F$14="Yes",'3. Rent &amp; Expenses'!$I$25*AL$16,0),IF(AL$32&lt;='3.1 Investor Splits'!$F$17,'3.1 Investor Splits'!$M12*12,0))))</f>
        <v>5635.6890798984587</v>
      </c>
      <c r="AM36" s="140">
        <f>IF($V36="","",IF('3.1 Investor Splits'!$F$8="Yes",
'3.1 Investor Splits'!$L12*AM$33+IF(AND($V36="GP",'3.1 Investor Splits'!$F$14="Yes"),'3. Rent &amp; Expenses'!$I$25*AM$16),
IF('3.1 Investor Splits'!$J12="GP",AM$33-SUM(AM37:AM55)+IF('3.1 Investor Splits'!$F$14="Yes",'3. Rent &amp; Expenses'!$I$25*AM$16,0),IF(AM$32&lt;='3.1 Investor Splits'!$F$17,'3.1 Investor Splits'!$M12*12,0))))</f>
        <v>5748.4028614964282</v>
      </c>
      <c r="AN36" s="140">
        <f>IF($V36="","",IF('3.1 Investor Splits'!$F$8="Yes",
'3.1 Investor Splits'!$L12*AN$33+IF(AND($V36="GP",'3.1 Investor Splits'!$F$14="Yes"),'3. Rent &amp; Expenses'!$I$25*AN$16),
IF('3.1 Investor Splits'!$J12="GP",AN$33-SUM(AN37:AN55)+IF('3.1 Investor Splits'!$F$14="Yes",'3. Rent &amp; Expenses'!$I$25*AN$16,0),IF(AN$32&lt;='3.1 Investor Splits'!$F$17,'3.1 Investor Splits'!$M12*12,0))))</f>
        <v>5863.3709187263576</v>
      </c>
      <c r="AO36" s="140">
        <f>IF($V36="","",IF('3.1 Investor Splits'!$F$8="Yes",
'3.1 Investor Splits'!$L12*AO$33+IF(AND($V36="GP",'3.1 Investor Splits'!$F$14="Yes"),'3. Rent &amp; Expenses'!$I$25*AO$16),
IF('3.1 Investor Splits'!$J12="GP",AO$33-SUM(AO37:AO55)+IF('3.1 Investor Splits'!$F$14="Yes",'3. Rent &amp; Expenses'!$I$25*AO$16,0),IF(AO$32&lt;='3.1 Investor Splits'!$F$17,'3.1 Investor Splits'!$M12*12,0))))</f>
        <v>5980.6383371008833</v>
      </c>
      <c r="AP36" s="140">
        <f>IF($V36="","",IF('3.1 Investor Splits'!$F$8="Yes",
'3.1 Investor Splits'!$L12*AP$33+IF(AND($V36="GP",'3.1 Investor Splits'!$F$14="Yes"),'3. Rent &amp; Expenses'!$I$25*AP$16),
IF('3.1 Investor Splits'!$J12="GP",AP$33-SUM(AP37:AP55)+IF('3.1 Investor Splits'!$F$14="Yes",'3. Rent &amp; Expenses'!$I$25*AP$16,0),IF(AP$32&lt;='3.1 Investor Splits'!$F$17,'3.1 Investor Splits'!$M12*12,0))))</f>
        <v>6100.2511038429002</v>
      </c>
      <c r="AQ36" s="140">
        <f>IF($V36="","",IF('3.1 Investor Splits'!$F$8="Yes",
'3.1 Investor Splits'!$L12*AQ$33+IF(AND($V36="GP",'3.1 Investor Splits'!$F$14="Yes"),'3. Rent &amp; Expenses'!$I$25*AQ$16),
IF('3.1 Investor Splits'!$J12="GP",AQ$33-SUM(AQ37:AQ55)+IF('3.1 Investor Splits'!$F$14="Yes",'3. Rent &amp; Expenses'!$I$25*AQ$16,0),IF(AQ$32&lt;='3.1 Investor Splits'!$F$17,'3.1 Investor Splits'!$M12*12,0))))</f>
        <v>6222.256125919761</v>
      </c>
      <c r="AR36" s="140">
        <f>IF($V36="","",IF('3.1 Investor Splits'!$F$8="Yes",
'3.1 Investor Splits'!$L12*AR$33+IF(AND($V36="GP",'3.1 Investor Splits'!$F$14="Yes"),'3. Rent &amp; Expenses'!$I$25*AR$16),
IF('3.1 Investor Splits'!$J12="GP",AR$33-SUM(AR37:AR55)+IF('3.1 Investor Splits'!$F$14="Yes",'3. Rent &amp; Expenses'!$I$25*AR$16,0),IF(AR$32&lt;='3.1 Investor Splits'!$F$17,'3.1 Investor Splits'!$M12*12,0))))</f>
        <v>6346.7012484381548</v>
      </c>
      <c r="AS36" s="140">
        <f>IF($V36="","",IF('3.1 Investor Splits'!$F$8="Yes",
'3.1 Investor Splits'!$L12*AS$33+IF(AND($V36="GP",'3.1 Investor Splits'!$F$14="Yes"),'3. Rent &amp; Expenses'!$I$25*AS$16),
IF('3.1 Investor Splits'!$J12="GP",AS$33-SUM(AS37:AS55)+IF('3.1 Investor Splits'!$F$14="Yes",'3. Rent &amp; Expenses'!$I$25*AS$16,0),IF(AS$32&lt;='3.1 Investor Splits'!$F$17,'3.1 Investor Splits'!$M12*12,0))))</f>
        <v>6473.6352734069187</v>
      </c>
      <c r="AT36" s="140">
        <f>IF($V36="","",IF('3.1 Investor Splits'!$F$8="Yes",
'3.1 Investor Splits'!$L12*AT$33+IF(AND($V36="GP",'3.1 Investor Splits'!$F$14="Yes"),'3. Rent &amp; Expenses'!$I$25*AT$16),
IF('3.1 Investor Splits'!$J12="GP",AT$33-SUM(AT37:AT55)+IF('3.1 Investor Splits'!$F$14="Yes",'3. Rent &amp; Expenses'!$I$25*AT$16,0),IF(AT$32&lt;='3.1 Investor Splits'!$F$17,'3.1 Investor Splits'!$M12*12,0))))</f>
        <v>6603.1079788750567</v>
      </c>
      <c r="AU36" s="140">
        <f>IF($V36="","",IF('3.1 Investor Splits'!$F$8="Yes",
'3.1 Investor Splits'!$L12*AU$33+IF(AND($V36="GP",'3.1 Investor Splits'!$F$14="Yes"),'3. Rent &amp; Expenses'!$I$25*AU$16),
IF('3.1 Investor Splits'!$J12="GP",AU$33-SUM(AU37:AU55)+IF('3.1 Investor Splits'!$F$14="Yes",'3. Rent &amp; Expenses'!$I$25*AU$16,0),IF(AU$32&lt;='3.1 Investor Splits'!$F$17,'3.1 Investor Splits'!$M12*12,0))))</f>
        <v>6735.1701384525568</v>
      </c>
      <c r="AV36" s="140">
        <f>IF($V36="","",IF('3.1 Investor Splits'!$F$8="Yes",
'3.1 Investor Splits'!$L12*AV$33+IF(AND($V36="GP",'3.1 Investor Splits'!$F$14="Yes"),'3. Rent &amp; Expenses'!$I$25*AV$16),
IF('3.1 Investor Splits'!$J12="GP",AV$33-SUM(AV37:AV55)+IF('3.1 Investor Splits'!$F$14="Yes",'3. Rent &amp; Expenses'!$I$25*AV$16,0),IF(AV$32&lt;='3.1 Investor Splits'!$F$17,'3.1 Investor Splits'!$M12*12,0))))</f>
        <v>6869.8735412216065</v>
      </c>
      <c r="AW36" s="140">
        <f>IF($V36="","",IF('3.1 Investor Splits'!$F$8="Yes",
'3.1 Investor Splits'!$L12*AW$33+IF(AND($V36="GP",'3.1 Investor Splits'!$F$14="Yes"),'3. Rent &amp; Expenses'!$I$25*AW$16),
IF('3.1 Investor Splits'!$J12="GP",AW$33-SUM(AW37:AW55)+IF('3.1 Investor Splits'!$F$14="Yes",'3. Rent &amp; Expenses'!$I$25*AW$16,0),IF(AW$32&lt;='3.1 Investor Splits'!$F$17,'3.1 Investor Splits'!$M12*12,0))))</f>
        <v>7007.2710120460406</v>
      </c>
      <c r="AX36" s="140">
        <f>IF($V36="","",IF('3.1 Investor Splits'!$F$8="Yes",
'3.1 Investor Splits'!$L12*AX$33+IF(AND($V36="GP",'3.1 Investor Splits'!$F$14="Yes"),'3. Rent &amp; Expenses'!$I$25*AX$16),
IF('3.1 Investor Splits'!$J12="GP",AX$33-SUM(AX37:AX55)+IF('3.1 Investor Splits'!$F$14="Yes",'3. Rent &amp; Expenses'!$I$25*AX$16,0),IF(AX$32&lt;='3.1 Investor Splits'!$F$17,'3.1 Investor Splits'!$M12*12,0))))</f>
        <v>7147.4164322869601</v>
      </c>
      <c r="AY36" s="140">
        <f>IF($V36="","",IF('3.1 Investor Splits'!$F$8="Yes",
'3.1 Investor Splits'!$L12*AY$33+IF(AND($V36="GP",'3.1 Investor Splits'!$F$14="Yes"),'3. Rent &amp; Expenses'!$I$25*AY$16),
IF('3.1 Investor Splits'!$J12="GP",AY$33-SUM(AY37:AY55)+IF('3.1 Investor Splits'!$F$14="Yes",'3. Rent &amp; Expenses'!$I$25*AY$16,0),IF(AY$32&lt;='3.1 Investor Splits'!$F$17,'3.1 Investor Splits'!$M12*12,0))))</f>
        <v>7290.3647609327018</v>
      </c>
      <c r="AZ36" s="140">
        <f>IF($V36="","",IF('3.1 Investor Splits'!$F$8="Yes",
'3.1 Investor Splits'!$L12*AZ$33+IF(AND($V36="GP",'3.1 Investor Splits'!$F$14="Yes"),'3. Rent &amp; Expenses'!$I$25*AZ$16),
IF('3.1 Investor Splits'!$J12="GP",AZ$33-SUM(AZ37:AZ55)+IF('3.1 Investor Splits'!$F$14="Yes",'3. Rent &amp; Expenses'!$I$25*AZ$16,0),IF(AZ$32&lt;='3.1 Investor Splits'!$F$17,'3.1 Investor Splits'!$M12*12,0))))</f>
        <v>7436.1720561513548</v>
      </c>
    </row>
    <row r="37" spans="2:52" ht="16" thickBot="1" x14ac:dyDescent="0.25">
      <c r="B37" s="38" t="s">
        <v>128</v>
      </c>
      <c r="C37" s="36">
        <f>IFERROR('4. Report'!$D$61-INDEX('Debt Payment (Yearly)'!$C$12:$K$42,MATCH(C28,'Debt Payment (Yearly)'!$C$12:$C$42,0),7),0)</f>
        <v>0</v>
      </c>
      <c r="D37" s="36">
        <f>IFERROR('4. Report'!$D$61-INDEX('Debt Payment (Yearly)'!$C$12:$K$42,MATCH(D28,'Debt Payment (Yearly)'!$C$12:$C$42,0),7),0)</f>
        <v>0</v>
      </c>
      <c r="E37" s="36">
        <f>IFERROR('4. Report'!$D$61-INDEX('Debt Payment (Yearly)'!$C$12:$K$42,MATCH(E28,'Debt Payment (Yearly)'!$C$12:$C$42,0),7),0)</f>
        <v>0</v>
      </c>
      <c r="F37" s="36">
        <f>IFERROR('4. Report'!$D$61-INDEX('Debt Payment (Yearly)'!$C$12:$K$42,MATCH(F28,'Debt Payment (Yearly)'!$C$12:$C$42,0),7),0)</f>
        <v>0</v>
      </c>
      <c r="G37" s="36">
        <f>IFERROR('4. Report'!$D$61-INDEX('Debt Payment (Yearly)'!$C$12:$K$42,MATCH(G28,'Debt Payment (Yearly)'!$C$12:$C$42,0),7),0)</f>
        <v>0</v>
      </c>
      <c r="H37" s="36">
        <f>IFERROR('4. Report'!$D$61-INDEX('Debt Payment (Yearly)'!$C$12:$K$42,MATCH(H28,'Debt Payment (Yearly)'!$C$12:$C$42,0),7),0)</f>
        <v>0</v>
      </c>
      <c r="I37" s="36">
        <f>IFERROR('4. Report'!$D$61-INDEX('Debt Payment (Yearly)'!$C$12:$K$42,MATCH(I28,'Debt Payment (Yearly)'!$C$12:$C$42,0),7),0)</f>
        <v>0</v>
      </c>
      <c r="J37" s="36">
        <f>IFERROR('4. Report'!$D$61-INDEX('Debt Payment (Yearly)'!$C$12:$K$42,MATCH(J28,'Debt Payment (Yearly)'!$C$12:$C$42,0),7),0)</f>
        <v>0</v>
      </c>
      <c r="K37" s="36">
        <f>IFERROR('4. Report'!$D$61-INDEX('Debt Payment (Yearly)'!$C$12:$K$42,MATCH(K28,'Debt Payment (Yearly)'!$C$12:$C$42,0),7),0)</f>
        <v>0</v>
      </c>
      <c r="L37" s="40">
        <f>IFERROR('4. Report'!$D$61-INDEX('Debt Payment (Yearly)'!$C$12:$K$42,MATCH(L28,'Debt Payment (Yearly)'!$C$12:$C$42,0),7),0)</f>
        <v>0</v>
      </c>
      <c r="V37" s="5" t="str">
        <f>'3.1 Investor Splits'!I13</f>
        <v/>
      </c>
      <c r="W37" s="140" t="str">
        <f>IF($V37="","",IF('3.1 Investor Splits'!$F$8="Yes",
'3.1 Investor Splits'!$L13*W$33+IF(AND($V37="GP",'3.1 Investor Splits'!$F$14="Yes"),'3. Rent &amp; Expenses'!$I$25*W$16),
IF('3.1 Investor Splits'!$J13="GP",W$33-SUM(W38:W56)+IF('3.1 Investor Splits'!$F$14="Yes",'3. Rent &amp; Expenses'!$I$25*W$16,0),IF(W$32&lt;='3.1 Investor Splits'!$F$17,'3.1 Investor Splits'!$M13*12,0))))</f>
        <v/>
      </c>
      <c r="X37" s="140" t="str">
        <f>IF($V37="","",IF('3.1 Investor Splits'!$F$8="Yes",
'3.1 Investor Splits'!$L13*X$33+IF(AND($V37="GP",'3.1 Investor Splits'!$F$14="Yes"),'3. Rent &amp; Expenses'!$I$25*X$16),
IF('3.1 Investor Splits'!$J13="GP",X$33-SUM(X38:X56)+IF('3.1 Investor Splits'!$F$14="Yes",'3. Rent &amp; Expenses'!$I$25*X$16,0),IF(X$32&lt;='3.1 Investor Splits'!$F$17,'3.1 Investor Splits'!$M13*12,0))))</f>
        <v/>
      </c>
      <c r="Y37" s="140" t="str">
        <f>IF($V37="","",IF('3.1 Investor Splits'!$F$8="Yes",
'3.1 Investor Splits'!$L13*Y$33+IF(AND($V37="GP",'3.1 Investor Splits'!$F$14="Yes"),'3. Rent &amp; Expenses'!$I$25*Y$16),
IF('3.1 Investor Splits'!$J13="GP",Y$33-SUM(Y38:Y56)+IF('3.1 Investor Splits'!$F$14="Yes",'3. Rent &amp; Expenses'!$I$25*Y$16,0),IF(Y$32&lt;='3.1 Investor Splits'!$F$17,'3.1 Investor Splits'!$M13*12,0))))</f>
        <v/>
      </c>
      <c r="Z37" s="140" t="str">
        <f>IF($V37="","",IF('3.1 Investor Splits'!$F$8="Yes",
'3.1 Investor Splits'!$L13*Z$33+IF(AND($V37="GP",'3.1 Investor Splits'!$F$14="Yes"),'3. Rent &amp; Expenses'!$I$25*Z$16),
IF('3.1 Investor Splits'!$J13="GP",Z$33-SUM(Z38:Z56)+IF('3.1 Investor Splits'!$F$14="Yes",'3. Rent &amp; Expenses'!$I$25*Z$16,0),IF(Z$32&lt;='3.1 Investor Splits'!$F$17,'3.1 Investor Splits'!$M13*12,0))))</f>
        <v/>
      </c>
      <c r="AA37" s="140" t="str">
        <f>IF($V37="","",IF('3.1 Investor Splits'!$F$8="Yes",
'3.1 Investor Splits'!$L13*AA$33+IF(AND($V37="GP",'3.1 Investor Splits'!$F$14="Yes"),'3. Rent &amp; Expenses'!$I$25*AA$16),
IF('3.1 Investor Splits'!$J13="GP",AA$33-SUM(AA38:AA56)+IF('3.1 Investor Splits'!$F$14="Yes",'3. Rent &amp; Expenses'!$I$25*AA$16,0),IF(AA$32&lt;='3.1 Investor Splits'!$F$17,'3.1 Investor Splits'!$M13*12,0))))</f>
        <v/>
      </c>
      <c r="AB37" s="140" t="str">
        <f>IF($V37="","",IF('3.1 Investor Splits'!$F$8="Yes",
'3.1 Investor Splits'!$L13*AB$33+IF(AND($V37="GP",'3.1 Investor Splits'!$F$14="Yes"),'3. Rent &amp; Expenses'!$I$25*AB$16),
IF('3.1 Investor Splits'!$J13="GP",AB$33-SUM(AB38:AB56)+IF('3.1 Investor Splits'!$F$14="Yes",'3. Rent &amp; Expenses'!$I$25*AB$16,0),IF(AB$32&lt;='3.1 Investor Splits'!$F$17,'3.1 Investor Splits'!$M13*12,0))))</f>
        <v/>
      </c>
      <c r="AC37" s="140" t="str">
        <f>IF($V37="","",IF('3.1 Investor Splits'!$F$8="Yes",
'3.1 Investor Splits'!$L13*AC$33+IF(AND($V37="GP",'3.1 Investor Splits'!$F$14="Yes"),'3. Rent &amp; Expenses'!$I$25*AC$16),
IF('3.1 Investor Splits'!$J13="GP",AC$33-SUM(AC38:AC56)+IF('3.1 Investor Splits'!$F$14="Yes",'3. Rent &amp; Expenses'!$I$25*AC$16,0),IF(AC$32&lt;='3.1 Investor Splits'!$F$17,'3.1 Investor Splits'!$M13*12,0))))</f>
        <v/>
      </c>
      <c r="AD37" s="140" t="str">
        <f>IF($V37="","",IF('3.1 Investor Splits'!$F$8="Yes",
'3.1 Investor Splits'!$L13*AD$33+IF(AND($V37="GP",'3.1 Investor Splits'!$F$14="Yes"),'3. Rent &amp; Expenses'!$I$25*AD$16),
IF('3.1 Investor Splits'!$J13="GP",AD$33-SUM(AD38:AD56)+IF('3.1 Investor Splits'!$F$14="Yes",'3. Rent &amp; Expenses'!$I$25*AD$16,0),IF(AD$32&lt;='3.1 Investor Splits'!$F$17,'3.1 Investor Splits'!$M13*12,0))))</f>
        <v/>
      </c>
      <c r="AE37" s="140" t="str">
        <f>IF($V37="","",IF('3.1 Investor Splits'!$F$8="Yes",
'3.1 Investor Splits'!$L13*AE$33+IF(AND($V37="GP",'3.1 Investor Splits'!$F$14="Yes"),'3. Rent &amp; Expenses'!$I$25*AE$16),
IF('3.1 Investor Splits'!$J13="GP",AE$33-SUM(AE38:AE56)+IF('3.1 Investor Splits'!$F$14="Yes",'3. Rent &amp; Expenses'!$I$25*AE$16,0),IF(AE$32&lt;='3.1 Investor Splits'!$F$17,'3.1 Investor Splits'!$M13*12,0))))</f>
        <v/>
      </c>
      <c r="AF37" s="140" t="str">
        <f>IF($V37="","",IF('3.1 Investor Splits'!$F$8="Yes",
'3.1 Investor Splits'!$L13*AF$33+IF(AND($V37="GP",'3.1 Investor Splits'!$F$14="Yes"),'3. Rent &amp; Expenses'!$I$25*AF$16),
IF('3.1 Investor Splits'!$J13="GP",AF$33-SUM(AF38:AF56)+IF('3.1 Investor Splits'!$F$14="Yes",'3. Rent &amp; Expenses'!$I$25*AF$16,0),IF(AF$32&lt;='3.1 Investor Splits'!$F$17,'3.1 Investor Splits'!$M13*12,0))))</f>
        <v/>
      </c>
      <c r="AG37" s="140" t="str">
        <f>IF($V37="","",IF('3.1 Investor Splits'!$F$8="Yes",
'3.1 Investor Splits'!$L13*AG$33+IF(AND($V37="GP",'3.1 Investor Splits'!$F$14="Yes"),'3. Rent &amp; Expenses'!$I$25*AG$16),
IF('3.1 Investor Splits'!$J13="GP",AG$33-SUM(AG38:AG56)+IF('3.1 Investor Splits'!$F$14="Yes",'3. Rent &amp; Expenses'!$I$25*AG$16,0),IF(AG$32&lt;='3.1 Investor Splits'!$F$17,'3.1 Investor Splits'!$M13*12,0))))</f>
        <v/>
      </c>
      <c r="AH37" s="140" t="str">
        <f>IF($V37="","",IF('3.1 Investor Splits'!$F$8="Yes",
'3.1 Investor Splits'!$L13*AH$33+IF(AND($V37="GP",'3.1 Investor Splits'!$F$14="Yes"),'3. Rent &amp; Expenses'!$I$25*AH$16),
IF('3.1 Investor Splits'!$J13="GP",AH$33-SUM(AH38:AH56)+IF('3.1 Investor Splits'!$F$14="Yes",'3. Rent &amp; Expenses'!$I$25*AH$16,0),IF(AH$32&lt;='3.1 Investor Splits'!$F$17,'3.1 Investor Splits'!$M13*12,0))))</f>
        <v/>
      </c>
      <c r="AI37" s="140" t="str">
        <f>IF($V37="","",IF('3.1 Investor Splits'!$F$8="Yes",
'3.1 Investor Splits'!$L13*AI$33+IF(AND($V37="GP",'3.1 Investor Splits'!$F$14="Yes"),'3. Rent &amp; Expenses'!$I$25*AI$16),
IF('3.1 Investor Splits'!$J13="GP",AI$33-SUM(AI38:AI56)+IF('3.1 Investor Splits'!$F$14="Yes",'3. Rent &amp; Expenses'!$I$25*AI$16,0),IF(AI$32&lt;='3.1 Investor Splits'!$F$17,'3.1 Investor Splits'!$M13*12,0))))</f>
        <v/>
      </c>
      <c r="AJ37" s="140" t="str">
        <f>IF($V37="","",IF('3.1 Investor Splits'!$F$8="Yes",
'3.1 Investor Splits'!$L13*AJ$33+IF(AND($V37="GP",'3.1 Investor Splits'!$F$14="Yes"),'3. Rent &amp; Expenses'!$I$25*AJ$16),
IF('3.1 Investor Splits'!$J13="GP",AJ$33-SUM(AJ38:AJ56)+IF('3.1 Investor Splits'!$F$14="Yes",'3. Rent &amp; Expenses'!$I$25*AJ$16,0),IF(AJ$32&lt;='3.1 Investor Splits'!$F$17,'3.1 Investor Splits'!$M13*12,0))))</f>
        <v/>
      </c>
      <c r="AK37" s="140" t="str">
        <f>IF($V37="","",IF('3.1 Investor Splits'!$F$8="Yes",
'3.1 Investor Splits'!$L13*AK$33+IF(AND($V37="GP",'3.1 Investor Splits'!$F$14="Yes"),'3. Rent &amp; Expenses'!$I$25*AK$16),
IF('3.1 Investor Splits'!$J13="GP",AK$33-SUM(AK38:AK56)+IF('3.1 Investor Splits'!$F$14="Yes",'3. Rent &amp; Expenses'!$I$25*AK$16,0),IF(AK$32&lt;='3.1 Investor Splits'!$F$17,'3.1 Investor Splits'!$M13*12,0))))</f>
        <v/>
      </c>
      <c r="AL37" s="140" t="str">
        <f>IF($V37="","",IF('3.1 Investor Splits'!$F$8="Yes",
'3.1 Investor Splits'!$L13*AL$33+IF(AND($V37="GP",'3.1 Investor Splits'!$F$14="Yes"),'3. Rent &amp; Expenses'!$I$25*AL$16),
IF('3.1 Investor Splits'!$J13="GP",AL$33-SUM(AL38:AL56)+IF('3.1 Investor Splits'!$F$14="Yes",'3. Rent &amp; Expenses'!$I$25*AL$16,0),IF(AL$32&lt;='3.1 Investor Splits'!$F$17,'3.1 Investor Splits'!$M13*12,0))))</f>
        <v/>
      </c>
      <c r="AM37" s="140" t="str">
        <f>IF($V37="","",IF('3.1 Investor Splits'!$F$8="Yes",
'3.1 Investor Splits'!$L13*AM$33+IF(AND($V37="GP",'3.1 Investor Splits'!$F$14="Yes"),'3. Rent &amp; Expenses'!$I$25*AM$16),
IF('3.1 Investor Splits'!$J13="GP",AM$33-SUM(AM38:AM56)+IF('3.1 Investor Splits'!$F$14="Yes",'3. Rent &amp; Expenses'!$I$25*AM$16,0),IF(AM$32&lt;='3.1 Investor Splits'!$F$17,'3.1 Investor Splits'!$M13*12,0))))</f>
        <v/>
      </c>
      <c r="AN37" s="140" t="str">
        <f>IF($V37="","",IF('3.1 Investor Splits'!$F$8="Yes",
'3.1 Investor Splits'!$L13*AN$33+IF(AND($V37="GP",'3.1 Investor Splits'!$F$14="Yes"),'3. Rent &amp; Expenses'!$I$25*AN$16),
IF('3.1 Investor Splits'!$J13="GP",AN$33-SUM(AN38:AN56)+IF('3.1 Investor Splits'!$F$14="Yes",'3. Rent &amp; Expenses'!$I$25*AN$16,0),IF(AN$32&lt;='3.1 Investor Splits'!$F$17,'3.1 Investor Splits'!$M13*12,0))))</f>
        <v/>
      </c>
      <c r="AO37" s="140" t="str">
        <f>IF($V37="","",IF('3.1 Investor Splits'!$F$8="Yes",
'3.1 Investor Splits'!$L13*AO$33+IF(AND($V37="GP",'3.1 Investor Splits'!$F$14="Yes"),'3. Rent &amp; Expenses'!$I$25*AO$16),
IF('3.1 Investor Splits'!$J13="GP",AO$33-SUM(AO38:AO56)+IF('3.1 Investor Splits'!$F$14="Yes",'3. Rent &amp; Expenses'!$I$25*AO$16,0),IF(AO$32&lt;='3.1 Investor Splits'!$F$17,'3.1 Investor Splits'!$M13*12,0))))</f>
        <v/>
      </c>
      <c r="AP37" s="140" t="str">
        <f>IF($V37="","",IF('3.1 Investor Splits'!$F$8="Yes",
'3.1 Investor Splits'!$L13*AP$33+IF(AND($V37="GP",'3.1 Investor Splits'!$F$14="Yes"),'3. Rent &amp; Expenses'!$I$25*AP$16),
IF('3.1 Investor Splits'!$J13="GP",AP$33-SUM(AP38:AP56)+IF('3.1 Investor Splits'!$F$14="Yes",'3. Rent &amp; Expenses'!$I$25*AP$16,0),IF(AP$32&lt;='3.1 Investor Splits'!$F$17,'3.1 Investor Splits'!$M13*12,0))))</f>
        <v/>
      </c>
      <c r="AQ37" s="140" t="str">
        <f>IF($V37="","",IF('3.1 Investor Splits'!$F$8="Yes",
'3.1 Investor Splits'!$L13*AQ$33+IF(AND($V37="GP",'3.1 Investor Splits'!$F$14="Yes"),'3. Rent &amp; Expenses'!$I$25*AQ$16),
IF('3.1 Investor Splits'!$J13="GP",AQ$33-SUM(AQ38:AQ56)+IF('3.1 Investor Splits'!$F$14="Yes",'3. Rent &amp; Expenses'!$I$25*AQ$16,0),IF(AQ$32&lt;='3.1 Investor Splits'!$F$17,'3.1 Investor Splits'!$M13*12,0))))</f>
        <v/>
      </c>
      <c r="AR37" s="140" t="str">
        <f>IF($V37="","",IF('3.1 Investor Splits'!$F$8="Yes",
'3.1 Investor Splits'!$L13*AR$33+IF(AND($V37="GP",'3.1 Investor Splits'!$F$14="Yes"),'3. Rent &amp; Expenses'!$I$25*AR$16),
IF('3.1 Investor Splits'!$J13="GP",AR$33-SUM(AR38:AR56)+IF('3.1 Investor Splits'!$F$14="Yes",'3. Rent &amp; Expenses'!$I$25*AR$16,0),IF(AR$32&lt;='3.1 Investor Splits'!$F$17,'3.1 Investor Splits'!$M13*12,0))))</f>
        <v/>
      </c>
      <c r="AS37" s="140" t="str">
        <f>IF($V37="","",IF('3.1 Investor Splits'!$F$8="Yes",
'3.1 Investor Splits'!$L13*AS$33+IF(AND($V37="GP",'3.1 Investor Splits'!$F$14="Yes"),'3. Rent &amp; Expenses'!$I$25*AS$16),
IF('3.1 Investor Splits'!$J13="GP",AS$33-SUM(AS38:AS56)+IF('3.1 Investor Splits'!$F$14="Yes",'3. Rent &amp; Expenses'!$I$25*AS$16,0),IF(AS$32&lt;='3.1 Investor Splits'!$F$17,'3.1 Investor Splits'!$M13*12,0))))</f>
        <v/>
      </c>
      <c r="AT37" s="140" t="str">
        <f>IF($V37="","",IF('3.1 Investor Splits'!$F$8="Yes",
'3.1 Investor Splits'!$L13*AT$33+IF(AND($V37="GP",'3.1 Investor Splits'!$F$14="Yes"),'3. Rent &amp; Expenses'!$I$25*AT$16),
IF('3.1 Investor Splits'!$J13="GP",AT$33-SUM(AT38:AT56)+IF('3.1 Investor Splits'!$F$14="Yes",'3. Rent &amp; Expenses'!$I$25*AT$16,0),IF(AT$32&lt;='3.1 Investor Splits'!$F$17,'3.1 Investor Splits'!$M13*12,0))))</f>
        <v/>
      </c>
      <c r="AU37" s="140" t="str">
        <f>IF($V37="","",IF('3.1 Investor Splits'!$F$8="Yes",
'3.1 Investor Splits'!$L13*AU$33+IF(AND($V37="GP",'3.1 Investor Splits'!$F$14="Yes"),'3. Rent &amp; Expenses'!$I$25*AU$16),
IF('3.1 Investor Splits'!$J13="GP",AU$33-SUM(AU38:AU56)+IF('3.1 Investor Splits'!$F$14="Yes",'3. Rent &amp; Expenses'!$I$25*AU$16,0),IF(AU$32&lt;='3.1 Investor Splits'!$F$17,'3.1 Investor Splits'!$M13*12,0))))</f>
        <v/>
      </c>
      <c r="AV37" s="140" t="str">
        <f>IF($V37="","",IF('3.1 Investor Splits'!$F$8="Yes",
'3.1 Investor Splits'!$L13*AV$33+IF(AND($V37="GP",'3.1 Investor Splits'!$F$14="Yes"),'3. Rent &amp; Expenses'!$I$25*AV$16),
IF('3.1 Investor Splits'!$J13="GP",AV$33-SUM(AV38:AV56)+IF('3.1 Investor Splits'!$F$14="Yes",'3. Rent &amp; Expenses'!$I$25*AV$16,0),IF(AV$32&lt;='3.1 Investor Splits'!$F$17,'3.1 Investor Splits'!$M13*12,0))))</f>
        <v/>
      </c>
      <c r="AW37" s="140" t="str">
        <f>IF($V37="","",IF('3.1 Investor Splits'!$F$8="Yes",
'3.1 Investor Splits'!$L13*AW$33+IF(AND($V37="GP",'3.1 Investor Splits'!$F$14="Yes"),'3. Rent &amp; Expenses'!$I$25*AW$16),
IF('3.1 Investor Splits'!$J13="GP",AW$33-SUM(AW38:AW56)+IF('3.1 Investor Splits'!$F$14="Yes",'3. Rent &amp; Expenses'!$I$25*AW$16,0),IF(AW$32&lt;='3.1 Investor Splits'!$F$17,'3.1 Investor Splits'!$M13*12,0))))</f>
        <v/>
      </c>
      <c r="AX37" s="140" t="str">
        <f>IF($V37="","",IF('3.1 Investor Splits'!$F$8="Yes",
'3.1 Investor Splits'!$L13*AX$33+IF(AND($V37="GP",'3.1 Investor Splits'!$F$14="Yes"),'3. Rent &amp; Expenses'!$I$25*AX$16),
IF('3.1 Investor Splits'!$J13="GP",AX$33-SUM(AX38:AX56)+IF('3.1 Investor Splits'!$F$14="Yes",'3. Rent &amp; Expenses'!$I$25*AX$16,0),IF(AX$32&lt;='3.1 Investor Splits'!$F$17,'3.1 Investor Splits'!$M13*12,0))))</f>
        <v/>
      </c>
      <c r="AY37" s="140" t="str">
        <f>IF($V37="","",IF('3.1 Investor Splits'!$F$8="Yes",
'3.1 Investor Splits'!$L13*AY$33+IF(AND($V37="GP",'3.1 Investor Splits'!$F$14="Yes"),'3. Rent &amp; Expenses'!$I$25*AY$16),
IF('3.1 Investor Splits'!$J13="GP",AY$33-SUM(AY38:AY56)+IF('3.1 Investor Splits'!$F$14="Yes",'3. Rent &amp; Expenses'!$I$25*AY$16,0),IF(AY$32&lt;='3.1 Investor Splits'!$F$17,'3.1 Investor Splits'!$M13*12,0))))</f>
        <v/>
      </c>
      <c r="AZ37" s="140" t="str">
        <f>IF($V37="","",IF('3.1 Investor Splits'!$F$8="Yes",
'3.1 Investor Splits'!$L13*AZ$33+IF(AND($V37="GP",'3.1 Investor Splits'!$F$14="Yes"),'3. Rent &amp; Expenses'!$I$25*AZ$16),
IF('3.1 Investor Splits'!$J13="GP",AZ$33-SUM(AZ38:AZ56)+IF('3.1 Investor Splits'!$F$14="Yes",'3. Rent &amp; Expenses'!$I$25*AZ$16,0),IF(AZ$32&lt;='3.1 Investor Splits'!$F$17,'3.1 Investor Splits'!$M13*12,0))))</f>
        <v/>
      </c>
    </row>
    <row r="38" spans="2:52" ht="16" thickTop="1" x14ac:dyDescent="0.2">
      <c r="B38" s="15" t="s">
        <v>127</v>
      </c>
      <c r="C38" s="17">
        <f>C36-C37</f>
        <v>109416.93913872937</v>
      </c>
      <c r="D38" s="17">
        <f t="shared" ref="D38:L38" si="28">D36-D37</f>
        <v>111605.27792150398</v>
      </c>
      <c r="E38" s="17">
        <f t="shared" si="28"/>
        <v>113837.38347993405</v>
      </c>
      <c r="F38" s="17">
        <f t="shared" si="28"/>
        <v>116114.13114953275</v>
      </c>
      <c r="G38" s="17">
        <f t="shared" si="28"/>
        <v>118436.41377252337</v>
      </c>
      <c r="H38" s="17">
        <f t="shared" si="28"/>
        <v>120805.14204797386</v>
      </c>
      <c r="I38" s="17">
        <f t="shared" si="28"/>
        <v>123221.24488893335</v>
      </c>
      <c r="J38" s="17">
        <f t="shared" si="28"/>
        <v>125685.66978671199</v>
      </c>
      <c r="K38" s="17">
        <f t="shared" si="28"/>
        <v>128199.38318244624</v>
      </c>
      <c r="L38" s="18">
        <f t="shared" si="28"/>
        <v>130763.37084609517</v>
      </c>
      <c r="V38" s="5" t="str">
        <f>'3.1 Investor Splits'!I14</f>
        <v/>
      </c>
      <c r="W38" s="140" t="str">
        <f>IF($V38="","",IF('3.1 Investor Splits'!$F$8="Yes",
'3.1 Investor Splits'!$L14*W$33+IF(AND($V38="GP",'3.1 Investor Splits'!$F$14="Yes"),'3. Rent &amp; Expenses'!$I$25*W$16),
IF('3.1 Investor Splits'!$J14="GP",W$33-SUM(W39:W57)+IF('3.1 Investor Splits'!$F$14="Yes",'3. Rent &amp; Expenses'!$I$25*W$16,0),IF(W$32&lt;='3.1 Investor Splits'!$F$17,'3.1 Investor Splits'!$M14*12,0))))</f>
        <v/>
      </c>
      <c r="X38" s="140" t="str">
        <f>IF($V38="","",IF('3.1 Investor Splits'!$F$8="Yes",
'3.1 Investor Splits'!$L14*X$33+IF(AND($V38="GP",'3.1 Investor Splits'!$F$14="Yes"),'3. Rent &amp; Expenses'!$I$25*X$16),
IF('3.1 Investor Splits'!$J14="GP",X$33-SUM(X39:X57)+IF('3.1 Investor Splits'!$F$14="Yes",'3. Rent &amp; Expenses'!$I$25*X$16,0),IF(X$32&lt;='3.1 Investor Splits'!$F$17,'3.1 Investor Splits'!$M14*12,0))))</f>
        <v/>
      </c>
      <c r="Y38" s="140" t="str">
        <f>IF($V38="","",IF('3.1 Investor Splits'!$F$8="Yes",
'3.1 Investor Splits'!$L14*Y$33+IF(AND($V38="GP",'3.1 Investor Splits'!$F$14="Yes"),'3. Rent &amp; Expenses'!$I$25*Y$16),
IF('3.1 Investor Splits'!$J14="GP",Y$33-SUM(Y39:Y57)+IF('3.1 Investor Splits'!$F$14="Yes",'3. Rent &amp; Expenses'!$I$25*Y$16,0),IF(Y$32&lt;='3.1 Investor Splits'!$F$17,'3.1 Investor Splits'!$M14*12,0))))</f>
        <v/>
      </c>
      <c r="Z38" s="140" t="str">
        <f>IF($V38="","",IF('3.1 Investor Splits'!$F$8="Yes",
'3.1 Investor Splits'!$L14*Z$33+IF(AND($V38="GP",'3.1 Investor Splits'!$F$14="Yes"),'3. Rent &amp; Expenses'!$I$25*Z$16),
IF('3.1 Investor Splits'!$J14="GP",Z$33-SUM(Z39:Z57)+IF('3.1 Investor Splits'!$F$14="Yes",'3. Rent &amp; Expenses'!$I$25*Z$16,0),IF(Z$32&lt;='3.1 Investor Splits'!$F$17,'3.1 Investor Splits'!$M14*12,0))))</f>
        <v/>
      </c>
      <c r="AA38" s="140" t="str">
        <f>IF($V38="","",IF('3.1 Investor Splits'!$F$8="Yes",
'3.1 Investor Splits'!$L14*AA$33+IF(AND($V38="GP",'3.1 Investor Splits'!$F$14="Yes"),'3. Rent &amp; Expenses'!$I$25*AA$16),
IF('3.1 Investor Splits'!$J14="GP",AA$33-SUM(AA39:AA57)+IF('3.1 Investor Splits'!$F$14="Yes",'3. Rent &amp; Expenses'!$I$25*AA$16,0),IF(AA$32&lt;='3.1 Investor Splits'!$F$17,'3.1 Investor Splits'!$M14*12,0))))</f>
        <v/>
      </c>
      <c r="AB38" s="140" t="str">
        <f>IF($V38="","",IF('3.1 Investor Splits'!$F$8="Yes",
'3.1 Investor Splits'!$L14*AB$33+IF(AND($V38="GP",'3.1 Investor Splits'!$F$14="Yes"),'3. Rent &amp; Expenses'!$I$25*AB$16),
IF('3.1 Investor Splits'!$J14="GP",AB$33-SUM(AB39:AB57)+IF('3.1 Investor Splits'!$F$14="Yes",'3. Rent &amp; Expenses'!$I$25*AB$16,0),IF(AB$32&lt;='3.1 Investor Splits'!$F$17,'3.1 Investor Splits'!$M14*12,0))))</f>
        <v/>
      </c>
      <c r="AC38" s="140" t="str">
        <f>IF($V38="","",IF('3.1 Investor Splits'!$F$8="Yes",
'3.1 Investor Splits'!$L14*AC$33+IF(AND($V38="GP",'3.1 Investor Splits'!$F$14="Yes"),'3. Rent &amp; Expenses'!$I$25*AC$16),
IF('3.1 Investor Splits'!$J14="GP",AC$33-SUM(AC39:AC57)+IF('3.1 Investor Splits'!$F$14="Yes",'3. Rent &amp; Expenses'!$I$25*AC$16,0),IF(AC$32&lt;='3.1 Investor Splits'!$F$17,'3.1 Investor Splits'!$M14*12,0))))</f>
        <v/>
      </c>
      <c r="AD38" s="140" t="str">
        <f>IF($V38="","",IF('3.1 Investor Splits'!$F$8="Yes",
'3.1 Investor Splits'!$L14*AD$33+IF(AND($V38="GP",'3.1 Investor Splits'!$F$14="Yes"),'3. Rent &amp; Expenses'!$I$25*AD$16),
IF('3.1 Investor Splits'!$J14="GP",AD$33-SUM(AD39:AD57)+IF('3.1 Investor Splits'!$F$14="Yes",'3. Rent &amp; Expenses'!$I$25*AD$16,0),IF(AD$32&lt;='3.1 Investor Splits'!$F$17,'3.1 Investor Splits'!$M14*12,0))))</f>
        <v/>
      </c>
      <c r="AE38" s="140" t="str">
        <f>IF($V38="","",IF('3.1 Investor Splits'!$F$8="Yes",
'3.1 Investor Splits'!$L14*AE$33+IF(AND($V38="GP",'3.1 Investor Splits'!$F$14="Yes"),'3. Rent &amp; Expenses'!$I$25*AE$16),
IF('3.1 Investor Splits'!$J14="GP",AE$33-SUM(AE39:AE57)+IF('3.1 Investor Splits'!$F$14="Yes",'3. Rent &amp; Expenses'!$I$25*AE$16,0),IF(AE$32&lt;='3.1 Investor Splits'!$F$17,'3.1 Investor Splits'!$M14*12,0))))</f>
        <v/>
      </c>
      <c r="AF38" s="140" t="str">
        <f>IF($V38="","",IF('3.1 Investor Splits'!$F$8="Yes",
'3.1 Investor Splits'!$L14*AF$33+IF(AND($V38="GP",'3.1 Investor Splits'!$F$14="Yes"),'3. Rent &amp; Expenses'!$I$25*AF$16),
IF('3.1 Investor Splits'!$J14="GP",AF$33-SUM(AF39:AF57)+IF('3.1 Investor Splits'!$F$14="Yes",'3. Rent &amp; Expenses'!$I$25*AF$16,0),IF(AF$32&lt;='3.1 Investor Splits'!$F$17,'3.1 Investor Splits'!$M14*12,0))))</f>
        <v/>
      </c>
      <c r="AG38" s="140" t="str">
        <f>IF($V38="","",IF('3.1 Investor Splits'!$F$8="Yes",
'3.1 Investor Splits'!$L14*AG$33+IF(AND($V38="GP",'3.1 Investor Splits'!$F$14="Yes"),'3. Rent &amp; Expenses'!$I$25*AG$16),
IF('3.1 Investor Splits'!$J14="GP",AG$33-SUM(AG39:AG57)+IF('3.1 Investor Splits'!$F$14="Yes",'3. Rent &amp; Expenses'!$I$25*AG$16,0),IF(AG$32&lt;='3.1 Investor Splits'!$F$17,'3.1 Investor Splits'!$M14*12,0))))</f>
        <v/>
      </c>
      <c r="AH38" s="140" t="str">
        <f>IF($V38="","",IF('3.1 Investor Splits'!$F$8="Yes",
'3.1 Investor Splits'!$L14*AH$33+IF(AND($V38="GP",'3.1 Investor Splits'!$F$14="Yes"),'3. Rent &amp; Expenses'!$I$25*AH$16),
IF('3.1 Investor Splits'!$J14="GP",AH$33-SUM(AH39:AH57)+IF('3.1 Investor Splits'!$F$14="Yes",'3. Rent &amp; Expenses'!$I$25*AH$16,0),IF(AH$32&lt;='3.1 Investor Splits'!$F$17,'3.1 Investor Splits'!$M14*12,0))))</f>
        <v/>
      </c>
      <c r="AI38" s="140" t="str">
        <f>IF($V38="","",IF('3.1 Investor Splits'!$F$8="Yes",
'3.1 Investor Splits'!$L14*AI$33+IF(AND($V38="GP",'3.1 Investor Splits'!$F$14="Yes"),'3. Rent &amp; Expenses'!$I$25*AI$16),
IF('3.1 Investor Splits'!$J14="GP",AI$33-SUM(AI39:AI57)+IF('3.1 Investor Splits'!$F$14="Yes",'3. Rent &amp; Expenses'!$I$25*AI$16,0),IF(AI$32&lt;='3.1 Investor Splits'!$F$17,'3.1 Investor Splits'!$M14*12,0))))</f>
        <v/>
      </c>
      <c r="AJ38" s="140" t="str">
        <f>IF($V38="","",IF('3.1 Investor Splits'!$F$8="Yes",
'3.1 Investor Splits'!$L14*AJ$33+IF(AND($V38="GP",'3.1 Investor Splits'!$F$14="Yes"),'3. Rent &amp; Expenses'!$I$25*AJ$16),
IF('3.1 Investor Splits'!$J14="GP",AJ$33-SUM(AJ39:AJ57)+IF('3.1 Investor Splits'!$F$14="Yes",'3. Rent &amp; Expenses'!$I$25*AJ$16,0),IF(AJ$32&lt;='3.1 Investor Splits'!$F$17,'3.1 Investor Splits'!$M14*12,0))))</f>
        <v/>
      </c>
      <c r="AK38" s="140" t="str">
        <f>IF($V38="","",IF('3.1 Investor Splits'!$F$8="Yes",
'3.1 Investor Splits'!$L14*AK$33+IF(AND($V38="GP",'3.1 Investor Splits'!$F$14="Yes"),'3. Rent &amp; Expenses'!$I$25*AK$16),
IF('3.1 Investor Splits'!$J14="GP",AK$33-SUM(AK39:AK57)+IF('3.1 Investor Splits'!$F$14="Yes",'3. Rent &amp; Expenses'!$I$25*AK$16,0),IF(AK$32&lt;='3.1 Investor Splits'!$F$17,'3.1 Investor Splits'!$M14*12,0))))</f>
        <v/>
      </c>
      <c r="AL38" s="140" t="str">
        <f>IF($V38="","",IF('3.1 Investor Splits'!$F$8="Yes",
'3.1 Investor Splits'!$L14*AL$33+IF(AND($V38="GP",'3.1 Investor Splits'!$F$14="Yes"),'3. Rent &amp; Expenses'!$I$25*AL$16),
IF('3.1 Investor Splits'!$J14="GP",AL$33-SUM(AL39:AL57)+IF('3.1 Investor Splits'!$F$14="Yes",'3. Rent &amp; Expenses'!$I$25*AL$16,0),IF(AL$32&lt;='3.1 Investor Splits'!$F$17,'3.1 Investor Splits'!$M14*12,0))))</f>
        <v/>
      </c>
      <c r="AM38" s="140" t="str">
        <f>IF($V38="","",IF('3.1 Investor Splits'!$F$8="Yes",
'3.1 Investor Splits'!$L14*AM$33+IF(AND($V38="GP",'3.1 Investor Splits'!$F$14="Yes"),'3. Rent &amp; Expenses'!$I$25*AM$16),
IF('3.1 Investor Splits'!$J14="GP",AM$33-SUM(AM39:AM57)+IF('3.1 Investor Splits'!$F$14="Yes",'3. Rent &amp; Expenses'!$I$25*AM$16,0),IF(AM$32&lt;='3.1 Investor Splits'!$F$17,'3.1 Investor Splits'!$M14*12,0))))</f>
        <v/>
      </c>
      <c r="AN38" s="140" t="str">
        <f>IF($V38="","",IF('3.1 Investor Splits'!$F$8="Yes",
'3.1 Investor Splits'!$L14*AN$33+IF(AND($V38="GP",'3.1 Investor Splits'!$F$14="Yes"),'3. Rent &amp; Expenses'!$I$25*AN$16),
IF('3.1 Investor Splits'!$J14="GP",AN$33-SUM(AN39:AN57)+IF('3.1 Investor Splits'!$F$14="Yes",'3. Rent &amp; Expenses'!$I$25*AN$16,0),IF(AN$32&lt;='3.1 Investor Splits'!$F$17,'3.1 Investor Splits'!$M14*12,0))))</f>
        <v/>
      </c>
      <c r="AO38" s="140" t="str">
        <f>IF($V38="","",IF('3.1 Investor Splits'!$F$8="Yes",
'3.1 Investor Splits'!$L14*AO$33+IF(AND($V38="GP",'3.1 Investor Splits'!$F$14="Yes"),'3. Rent &amp; Expenses'!$I$25*AO$16),
IF('3.1 Investor Splits'!$J14="GP",AO$33-SUM(AO39:AO57)+IF('3.1 Investor Splits'!$F$14="Yes",'3. Rent &amp; Expenses'!$I$25*AO$16,0),IF(AO$32&lt;='3.1 Investor Splits'!$F$17,'3.1 Investor Splits'!$M14*12,0))))</f>
        <v/>
      </c>
      <c r="AP38" s="140" t="str">
        <f>IF($V38="","",IF('3.1 Investor Splits'!$F$8="Yes",
'3.1 Investor Splits'!$L14*AP$33+IF(AND($V38="GP",'3.1 Investor Splits'!$F$14="Yes"),'3. Rent &amp; Expenses'!$I$25*AP$16),
IF('3.1 Investor Splits'!$J14="GP",AP$33-SUM(AP39:AP57)+IF('3.1 Investor Splits'!$F$14="Yes",'3. Rent &amp; Expenses'!$I$25*AP$16,0),IF(AP$32&lt;='3.1 Investor Splits'!$F$17,'3.1 Investor Splits'!$M14*12,0))))</f>
        <v/>
      </c>
      <c r="AQ38" s="140" t="str">
        <f>IF($V38="","",IF('3.1 Investor Splits'!$F$8="Yes",
'3.1 Investor Splits'!$L14*AQ$33+IF(AND($V38="GP",'3.1 Investor Splits'!$F$14="Yes"),'3. Rent &amp; Expenses'!$I$25*AQ$16),
IF('3.1 Investor Splits'!$J14="GP",AQ$33-SUM(AQ39:AQ57)+IF('3.1 Investor Splits'!$F$14="Yes",'3. Rent &amp; Expenses'!$I$25*AQ$16,0),IF(AQ$32&lt;='3.1 Investor Splits'!$F$17,'3.1 Investor Splits'!$M14*12,0))))</f>
        <v/>
      </c>
      <c r="AR38" s="140" t="str">
        <f>IF($V38="","",IF('3.1 Investor Splits'!$F$8="Yes",
'3.1 Investor Splits'!$L14*AR$33+IF(AND($V38="GP",'3.1 Investor Splits'!$F$14="Yes"),'3. Rent &amp; Expenses'!$I$25*AR$16),
IF('3.1 Investor Splits'!$J14="GP",AR$33-SUM(AR39:AR57)+IF('3.1 Investor Splits'!$F$14="Yes",'3. Rent &amp; Expenses'!$I$25*AR$16,0),IF(AR$32&lt;='3.1 Investor Splits'!$F$17,'3.1 Investor Splits'!$M14*12,0))))</f>
        <v/>
      </c>
      <c r="AS38" s="140" t="str">
        <f>IF($V38="","",IF('3.1 Investor Splits'!$F$8="Yes",
'3.1 Investor Splits'!$L14*AS$33+IF(AND($V38="GP",'3.1 Investor Splits'!$F$14="Yes"),'3. Rent &amp; Expenses'!$I$25*AS$16),
IF('3.1 Investor Splits'!$J14="GP",AS$33-SUM(AS39:AS57)+IF('3.1 Investor Splits'!$F$14="Yes",'3. Rent &amp; Expenses'!$I$25*AS$16,0),IF(AS$32&lt;='3.1 Investor Splits'!$F$17,'3.1 Investor Splits'!$M14*12,0))))</f>
        <v/>
      </c>
      <c r="AT38" s="140" t="str">
        <f>IF($V38="","",IF('3.1 Investor Splits'!$F$8="Yes",
'3.1 Investor Splits'!$L14*AT$33+IF(AND($V38="GP",'3.1 Investor Splits'!$F$14="Yes"),'3. Rent &amp; Expenses'!$I$25*AT$16),
IF('3.1 Investor Splits'!$J14="GP",AT$33-SUM(AT39:AT57)+IF('3.1 Investor Splits'!$F$14="Yes",'3. Rent &amp; Expenses'!$I$25*AT$16,0),IF(AT$32&lt;='3.1 Investor Splits'!$F$17,'3.1 Investor Splits'!$M14*12,0))))</f>
        <v/>
      </c>
      <c r="AU38" s="140" t="str">
        <f>IF($V38="","",IF('3.1 Investor Splits'!$F$8="Yes",
'3.1 Investor Splits'!$L14*AU$33+IF(AND($V38="GP",'3.1 Investor Splits'!$F$14="Yes"),'3. Rent &amp; Expenses'!$I$25*AU$16),
IF('3.1 Investor Splits'!$J14="GP",AU$33-SUM(AU39:AU57)+IF('3.1 Investor Splits'!$F$14="Yes",'3. Rent &amp; Expenses'!$I$25*AU$16,0),IF(AU$32&lt;='3.1 Investor Splits'!$F$17,'3.1 Investor Splits'!$M14*12,0))))</f>
        <v/>
      </c>
      <c r="AV38" s="140" t="str">
        <f>IF($V38="","",IF('3.1 Investor Splits'!$F$8="Yes",
'3.1 Investor Splits'!$L14*AV$33+IF(AND($V38="GP",'3.1 Investor Splits'!$F$14="Yes"),'3. Rent &amp; Expenses'!$I$25*AV$16),
IF('3.1 Investor Splits'!$J14="GP",AV$33-SUM(AV39:AV57)+IF('3.1 Investor Splits'!$F$14="Yes",'3. Rent &amp; Expenses'!$I$25*AV$16,0),IF(AV$32&lt;='3.1 Investor Splits'!$F$17,'3.1 Investor Splits'!$M14*12,0))))</f>
        <v/>
      </c>
      <c r="AW38" s="140" t="str">
        <f>IF($V38="","",IF('3.1 Investor Splits'!$F$8="Yes",
'3.1 Investor Splits'!$L14*AW$33+IF(AND($V38="GP",'3.1 Investor Splits'!$F$14="Yes"),'3. Rent &amp; Expenses'!$I$25*AW$16),
IF('3.1 Investor Splits'!$J14="GP",AW$33-SUM(AW39:AW57)+IF('3.1 Investor Splits'!$F$14="Yes",'3. Rent &amp; Expenses'!$I$25*AW$16,0),IF(AW$32&lt;='3.1 Investor Splits'!$F$17,'3.1 Investor Splits'!$M14*12,0))))</f>
        <v/>
      </c>
      <c r="AX38" s="140" t="str">
        <f>IF($V38="","",IF('3.1 Investor Splits'!$F$8="Yes",
'3.1 Investor Splits'!$L14*AX$33+IF(AND($V38="GP",'3.1 Investor Splits'!$F$14="Yes"),'3. Rent &amp; Expenses'!$I$25*AX$16),
IF('3.1 Investor Splits'!$J14="GP",AX$33-SUM(AX39:AX57)+IF('3.1 Investor Splits'!$F$14="Yes",'3. Rent &amp; Expenses'!$I$25*AX$16,0),IF(AX$32&lt;='3.1 Investor Splits'!$F$17,'3.1 Investor Splits'!$M14*12,0))))</f>
        <v/>
      </c>
      <c r="AY38" s="140" t="str">
        <f>IF($V38="","",IF('3.1 Investor Splits'!$F$8="Yes",
'3.1 Investor Splits'!$L14*AY$33+IF(AND($V38="GP",'3.1 Investor Splits'!$F$14="Yes"),'3. Rent &amp; Expenses'!$I$25*AY$16),
IF('3.1 Investor Splits'!$J14="GP",AY$33-SUM(AY39:AY57)+IF('3.1 Investor Splits'!$F$14="Yes",'3. Rent &amp; Expenses'!$I$25*AY$16,0),IF(AY$32&lt;='3.1 Investor Splits'!$F$17,'3.1 Investor Splits'!$M14*12,0))))</f>
        <v/>
      </c>
      <c r="AZ38" s="140" t="str">
        <f>IF($V38="","",IF('3.1 Investor Splits'!$F$8="Yes",
'3.1 Investor Splits'!$L14*AZ$33+IF(AND($V38="GP",'3.1 Investor Splits'!$F$14="Yes"),'3. Rent &amp; Expenses'!$I$25*AZ$16),
IF('3.1 Investor Splits'!$J14="GP",AZ$33-SUM(AZ39:AZ57)+IF('3.1 Investor Splits'!$F$14="Yes",'3. Rent &amp; Expenses'!$I$25*AZ$16,0),IF(AZ$32&lt;='3.1 Investor Splits'!$F$17,'3.1 Investor Splits'!$M14*12,0))))</f>
        <v/>
      </c>
    </row>
    <row r="39" spans="2:52" x14ac:dyDescent="0.2">
      <c r="B39" s="15" t="s">
        <v>129</v>
      </c>
      <c r="C39" s="17">
        <f>C36-C37-(C36*'3. Rent &amp; Expenses'!$J$30)+SUM($C$17:$L$17,'Pro Forma'!$C$34:C34)-'4. Report'!$D$80</f>
        <v>83221.4161700033</v>
      </c>
      <c r="D39" s="17">
        <f>D36-D37-(D36*'3. Rent &amp; Expenses'!$J$30)+SUM($C$17:$L$17,'Pro Forma'!$C$34:D34)-'4. Report'!$D$80</f>
        <v>92617.844493403361</v>
      </c>
      <c r="E39" s="17">
        <f>E36-E37-(E36*'3. Rent &amp; Expenses'!$J$30)+SUM($C$17:$L$17,'Pro Forma'!$C$34:E34)-'4. Report'!$D$80</f>
        <v>102202.20138327143</v>
      </c>
      <c r="F39" s="17">
        <f>F36-F37-(F36*'3. Rent &amp; Expenses'!$J$30)+SUM($C$17:$L$17,'Pro Forma'!$C$34:F34)-'4. Report'!$D$80</f>
        <v>111978.24541093688</v>
      </c>
      <c r="G39" s="17">
        <f>G36-G37-(G36*'3. Rent &amp; Expenses'!$J$30)+SUM($C$17:$L$17,'Pro Forma'!$C$34:G34)-'4. Report'!$D$80</f>
        <v>121949.81031915557</v>
      </c>
      <c r="H39" s="17">
        <f>H36-H37-(H36*'3. Rent &amp; Expenses'!$J$30)+SUM($C$17:$L$17,'Pro Forma'!$C$34:H34)-'4. Report'!$D$80</f>
        <v>132120.80652553873</v>
      </c>
      <c r="I39" s="17">
        <f>I36-I37-(I36*'3. Rent &amp; Expenses'!$J$30)+SUM($C$17:$L$17,'Pro Forma'!$C$34:I34)-'4. Report'!$D$80</f>
        <v>142495.2226560495</v>
      </c>
      <c r="J39" s="17">
        <f>J36-J37-(J36*'3. Rent &amp; Expenses'!$J$30)+SUM($C$17:$L$17,'Pro Forma'!$C$34:J34)-'4. Report'!$D$80</f>
        <v>153077.12710917048</v>
      </c>
      <c r="K39" s="17">
        <f>K36-K37-(K36*'3. Rent &amp; Expenses'!$J$30)+SUM($C$17:$L$17,'Pro Forma'!$C$34:K34)-'4. Report'!$D$80</f>
        <v>163870.66965135391</v>
      </c>
      <c r="L39" s="18">
        <f>L36-L37-(L36*'3. Rent &amp; Expenses'!$J$30)+SUM($C$17:$L$17,'Pro Forma'!$C$34:L34)-'4. Report'!$D$80</f>
        <v>174880.083044381</v>
      </c>
      <c r="V39" s="5" t="str">
        <f>'3.1 Investor Splits'!I15</f>
        <v/>
      </c>
      <c r="W39" s="140" t="str">
        <f>IF($V39="","",IF('3.1 Investor Splits'!$F$8="Yes",
'3.1 Investor Splits'!$L15*W$33+IF(AND($V39="GP",'3.1 Investor Splits'!$F$14="Yes"),'3. Rent &amp; Expenses'!$I$25*W$16),
IF('3.1 Investor Splits'!$J15="GP",W$33-SUM(W40:W58)+IF('3.1 Investor Splits'!$F$14="Yes",'3. Rent &amp; Expenses'!$I$25*W$16,0),IF(W$32&lt;='3.1 Investor Splits'!$F$17,'3.1 Investor Splits'!$M15*12,0))))</f>
        <v/>
      </c>
      <c r="X39" s="140" t="str">
        <f>IF($V39="","",IF('3.1 Investor Splits'!$F$8="Yes",
'3.1 Investor Splits'!$L15*X$33+IF(AND($V39="GP",'3.1 Investor Splits'!$F$14="Yes"),'3. Rent &amp; Expenses'!$I$25*X$16),
IF('3.1 Investor Splits'!$J15="GP",X$33-SUM(X40:X58)+IF('3.1 Investor Splits'!$F$14="Yes",'3. Rent &amp; Expenses'!$I$25*X$16,0),IF(X$32&lt;='3.1 Investor Splits'!$F$17,'3.1 Investor Splits'!$M15*12,0))))</f>
        <v/>
      </c>
      <c r="Y39" s="140" t="str">
        <f>IF($V39="","",IF('3.1 Investor Splits'!$F$8="Yes",
'3.1 Investor Splits'!$L15*Y$33+IF(AND($V39="GP",'3.1 Investor Splits'!$F$14="Yes"),'3. Rent &amp; Expenses'!$I$25*Y$16),
IF('3.1 Investor Splits'!$J15="GP",Y$33-SUM(Y40:Y58)+IF('3.1 Investor Splits'!$F$14="Yes",'3. Rent &amp; Expenses'!$I$25*Y$16,0),IF(Y$32&lt;='3.1 Investor Splits'!$F$17,'3.1 Investor Splits'!$M15*12,0))))</f>
        <v/>
      </c>
      <c r="Z39" s="140" t="str">
        <f>IF($V39="","",IF('3.1 Investor Splits'!$F$8="Yes",
'3.1 Investor Splits'!$L15*Z$33+IF(AND($V39="GP",'3.1 Investor Splits'!$F$14="Yes"),'3. Rent &amp; Expenses'!$I$25*Z$16),
IF('3.1 Investor Splits'!$J15="GP",Z$33-SUM(Z40:Z58)+IF('3.1 Investor Splits'!$F$14="Yes",'3. Rent &amp; Expenses'!$I$25*Z$16,0),IF(Z$32&lt;='3.1 Investor Splits'!$F$17,'3.1 Investor Splits'!$M15*12,0))))</f>
        <v/>
      </c>
      <c r="AA39" s="140" t="str">
        <f>IF($V39="","",IF('3.1 Investor Splits'!$F$8="Yes",
'3.1 Investor Splits'!$L15*AA$33+IF(AND($V39="GP",'3.1 Investor Splits'!$F$14="Yes"),'3. Rent &amp; Expenses'!$I$25*AA$16),
IF('3.1 Investor Splits'!$J15="GP",AA$33-SUM(AA40:AA58)+IF('3.1 Investor Splits'!$F$14="Yes",'3. Rent &amp; Expenses'!$I$25*AA$16,0),IF(AA$32&lt;='3.1 Investor Splits'!$F$17,'3.1 Investor Splits'!$M15*12,0))))</f>
        <v/>
      </c>
      <c r="AB39" s="140" t="str">
        <f>IF($V39="","",IF('3.1 Investor Splits'!$F$8="Yes",
'3.1 Investor Splits'!$L15*AB$33+IF(AND($V39="GP",'3.1 Investor Splits'!$F$14="Yes"),'3. Rent &amp; Expenses'!$I$25*AB$16),
IF('3.1 Investor Splits'!$J15="GP",AB$33-SUM(AB40:AB58)+IF('3.1 Investor Splits'!$F$14="Yes",'3. Rent &amp; Expenses'!$I$25*AB$16,0),IF(AB$32&lt;='3.1 Investor Splits'!$F$17,'3.1 Investor Splits'!$M15*12,0))))</f>
        <v/>
      </c>
      <c r="AC39" s="140" t="str">
        <f>IF($V39="","",IF('3.1 Investor Splits'!$F$8="Yes",
'3.1 Investor Splits'!$L15*AC$33+IF(AND($V39="GP",'3.1 Investor Splits'!$F$14="Yes"),'3. Rent &amp; Expenses'!$I$25*AC$16),
IF('3.1 Investor Splits'!$J15="GP",AC$33-SUM(AC40:AC58)+IF('3.1 Investor Splits'!$F$14="Yes",'3. Rent &amp; Expenses'!$I$25*AC$16,0),IF(AC$32&lt;='3.1 Investor Splits'!$F$17,'3.1 Investor Splits'!$M15*12,0))))</f>
        <v/>
      </c>
      <c r="AD39" s="140" t="str">
        <f>IF($V39="","",IF('3.1 Investor Splits'!$F$8="Yes",
'3.1 Investor Splits'!$L15*AD$33+IF(AND($V39="GP",'3.1 Investor Splits'!$F$14="Yes"),'3. Rent &amp; Expenses'!$I$25*AD$16),
IF('3.1 Investor Splits'!$J15="GP",AD$33-SUM(AD40:AD58)+IF('3.1 Investor Splits'!$F$14="Yes",'3. Rent &amp; Expenses'!$I$25*AD$16,0),IF(AD$32&lt;='3.1 Investor Splits'!$F$17,'3.1 Investor Splits'!$M15*12,0))))</f>
        <v/>
      </c>
      <c r="AE39" s="140" t="str">
        <f>IF($V39="","",IF('3.1 Investor Splits'!$F$8="Yes",
'3.1 Investor Splits'!$L15*AE$33+IF(AND($V39="GP",'3.1 Investor Splits'!$F$14="Yes"),'3. Rent &amp; Expenses'!$I$25*AE$16),
IF('3.1 Investor Splits'!$J15="GP",AE$33-SUM(AE40:AE58)+IF('3.1 Investor Splits'!$F$14="Yes",'3. Rent &amp; Expenses'!$I$25*AE$16,0),IF(AE$32&lt;='3.1 Investor Splits'!$F$17,'3.1 Investor Splits'!$M15*12,0))))</f>
        <v/>
      </c>
      <c r="AF39" s="140" t="str">
        <f>IF($V39="","",IF('3.1 Investor Splits'!$F$8="Yes",
'3.1 Investor Splits'!$L15*AF$33+IF(AND($V39="GP",'3.1 Investor Splits'!$F$14="Yes"),'3. Rent &amp; Expenses'!$I$25*AF$16),
IF('3.1 Investor Splits'!$J15="GP",AF$33-SUM(AF40:AF58)+IF('3.1 Investor Splits'!$F$14="Yes",'3. Rent &amp; Expenses'!$I$25*AF$16,0),IF(AF$32&lt;='3.1 Investor Splits'!$F$17,'3.1 Investor Splits'!$M15*12,0))))</f>
        <v/>
      </c>
      <c r="AG39" s="140" t="str">
        <f>IF($V39="","",IF('3.1 Investor Splits'!$F$8="Yes",
'3.1 Investor Splits'!$L15*AG$33+IF(AND($V39="GP",'3.1 Investor Splits'!$F$14="Yes"),'3. Rent &amp; Expenses'!$I$25*AG$16),
IF('3.1 Investor Splits'!$J15="GP",AG$33-SUM(AG40:AG58)+IF('3.1 Investor Splits'!$F$14="Yes",'3. Rent &amp; Expenses'!$I$25*AG$16,0),IF(AG$32&lt;='3.1 Investor Splits'!$F$17,'3.1 Investor Splits'!$M15*12,0))))</f>
        <v/>
      </c>
      <c r="AH39" s="140" t="str">
        <f>IF($V39="","",IF('3.1 Investor Splits'!$F$8="Yes",
'3.1 Investor Splits'!$L15*AH$33+IF(AND($V39="GP",'3.1 Investor Splits'!$F$14="Yes"),'3. Rent &amp; Expenses'!$I$25*AH$16),
IF('3.1 Investor Splits'!$J15="GP",AH$33-SUM(AH40:AH58)+IF('3.1 Investor Splits'!$F$14="Yes",'3. Rent &amp; Expenses'!$I$25*AH$16,0),IF(AH$32&lt;='3.1 Investor Splits'!$F$17,'3.1 Investor Splits'!$M15*12,0))))</f>
        <v/>
      </c>
      <c r="AI39" s="140" t="str">
        <f>IF($V39="","",IF('3.1 Investor Splits'!$F$8="Yes",
'3.1 Investor Splits'!$L15*AI$33+IF(AND($V39="GP",'3.1 Investor Splits'!$F$14="Yes"),'3. Rent &amp; Expenses'!$I$25*AI$16),
IF('3.1 Investor Splits'!$J15="GP",AI$33-SUM(AI40:AI58)+IF('3.1 Investor Splits'!$F$14="Yes",'3. Rent &amp; Expenses'!$I$25*AI$16,0),IF(AI$32&lt;='3.1 Investor Splits'!$F$17,'3.1 Investor Splits'!$M15*12,0))))</f>
        <v/>
      </c>
      <c r="AJ39" s="140" t="str">
        <f>IF($V39="","",IF('3.1 Investor Splits'!$F$8="Yes",
'3.1 Investor Splits'!$L15*AJ$33+IF(AND($V39="GP",'3.1 Investor Splits'!$F$14="Yes"),'3. Rent &amp; Expenses'!$I$25*AJ$16),
IF('3.1 Investor Splits'!$J15="GP",AJ$33-SUM(AJ40:AJ58)+IF('3.1 Investor Splits'!$F$14="Yes",'3. Rent &amp; Expenses'!$I$25*AJ$16,0),IF(AJ$32&lt;='3.1 Investor Splits'!$F$17,'3.1 Investor Splits'!$M15*12,0))))</f>
        <v/>
      </c>
      <c r="AK39" s="140" t="str">
        <f>IF($V39="","",IF('3.1 Investor Splits'!$F$8="Yes",
'3.1 Investor Splits'!$L15*AK$33+IF(AND($V39="GP",'3.1 Investor Splits'!$F$14="Yes"),'3. Rent &amp; Expenses'!$I$25*AK$16),
IF('3.1 Investor Splits'!$J15="GP",AK$33-SUM(AK40:AK58)+IF('3.1 Investor Splits'!$F$14="Yes",'3. Rent &amp; Expenses'!$I$25*AK$16,0),IF(AK$32&lt;='3.1 Investor Splits'!$F$17,'3.1 Investor Splits'!$M15*12,0))))</f>
        <v/>
      </c>
      <c r="AL39" s="140" t="str">
        <f>IF($V39="","",IF('3.1 Investor Splits'!$F$8="Yes",
'3.1 Investor Splits'!$L15*AL$33+IF(AND($V39="GP",'3.1 Investor Splits'!$F$14="Yes"),'3. Rent &amp; Expenses'!$I$25*AL$16),
IF('3.1 Investor Splits'!$J15="GP",AL$33-SUM(AL40:AL58)+IF('3.1 Investor Splits'!$F$14="Yes",'3. Rent &amp; Expenses'!$I$25*AL$16,0),IF(AL$32&lt;='3.1 Investor Splits'!$F$17,'3.1 Investor Splits'!$M15*12,0))))</f>
        <v/>
      </c>
      <c r="AM39" s="140" t="str">
        <f>IF($V39="","",IF('3.1 Investor Splits'!$F$8="Yes",
'3.1 Investor Splits'!$L15*AM$33+IF(AND($V39="GP",'3.1 Investor Splits'!$F$14="Yes"),'3. Rent &amp; Expenses'!$I$25*AM$16),
IF('3.1 Investor Splits'!$J15="GP",AM$33-SUM(AM40:AM58)+IF('3.1 Investor Splits'!$F$14="Yes",'3. Rent &amp; Expenses'!$I$25*AM$16,0),IF(AM$32&lt;='3.1 Investor Splits'!$F$17,'3.1 Investor Splits'!$M15*12,0))))</f>
        <v/>
      </c>
      <c r="AN39" s="140" t="str">
        <f>IF($V39="","",IF('3.1 Investor Splits'!$F$8="Yes",
'3.1 Investor Splits'!$L15*AN$33+IF(AND($V39="GP",'3.1 Investor Splits'!$F$14="Yes"),'3. Rent &amp; Expenses'!$I$25*AN$16),
IF('3.1 Investor Splits'!$J15="GP",AN$33-SUM(AN40:AN58)+IF('3.1 Investor Splits'!$F$14="Yes",'3. Rent &amp; Expenses'!$I$25*AN$16,0),IF(AN$32&lt;='3.1 Investor Splits'!$F$17,'3.1 Investor Splits'!$M15*12,0))))</f>
        <v/>
      </c>
      <c r="AO39" s="140" t="str">
        <f>IF($V39="","",IF('3.1 Investor Splits'!$F$8="Yes",
'3.1 Investor Splits'!$L15*AO$33+IF(AND($V39="GP",'3.1 Investor Splits'!$F$14="Yes"),'3. Rent &amp; Expenses'!$I$25*AO$16),
IF('3.1 Investor Splits'!$J15="GP",AO$33-SUM(AO40:AO58)+IF('3.1 Investor Splits'!$F$14="Yes",'3. Rent &amp; Expenses'!$I$25*AO$16,0),IF(AO$32&lt;='3.1 Investor Splits'!$F$17,'3.1 Investor Splits'!$M15*12,0))))</f>
        <v/>
      </c>
      <c r="AP39" s="140" t="str">
        <f>IF($V39="","",IF('3.1 Investor Splits'!$F$8="Yes",
'3.1 Investor Splits'!$L15*AP$33+IF(AND($V39="GP",'3.1 Investor Splits'!$F$14="Yes"),'3. Rent &amp; Expenses'!$I$25*AP$16),
IF('3.1 Investor Splits'!$J15="GP",AP$33-SUM(AP40:AP58)+IF('3.1 Investor Splits'!$F$14="Yes",'3. Rent &amp; Expenses'!$I$25*AP$16,0),IF(AP$32&lt;='3.1 Investor Splits'!$F$17,'3.1 Investor Splits'!$M15*12,0))))</f>
        <v/>
      </c>
      <c r="AQ39" s="140" t="str">
        <f>IF($V39="","",IF('3.1 Investor Splits'!$F$8="Yes",
'3.1 Investor Splits'!$L15*AQ$33+IF(AND($V39="GP",'3.1 Investor Splits'!$F$14="Yes"),'3. Rent &amp; Expenses'!$I$25*AQ$16),
IF('3.1 Investor Splits'!$J15="GP",AQ$33-SUM(AQ40:AQ58)+IF('3.1 Investor Splits'!$F$14="Yes",'3. Rent &amp; Expenses'!$I$25*AQ$16,0),IF(AQ$32&lt;='3.1 Investor Splits'!$F$17,'3.1 Investor Splits'!$M15*12,0))))</f>
        <v/>
      </c>
      <c r="AR39" s="140" t="str">
        <f>IF($V39="","",IF('3.1 Investor Splits'!$F$8="Yes",
'3.1 Investor Splits'!$L15*AR$33+IF(AND($V39="GP",'3.1 Investor Splits'!$F$14="Yes"),'3. Rent &amp; Expenses'!$I$25*AR$16),
IF('3.1 Investor Splits'!$J15="GP",AR$33-SUM(AR40:AR58)+IF('3.1 Investor Splits'!$F$14="Yes",'3. Rent &amp; Expenses'!$I$25*AR$16,0),IF(AR$32&lt;='3.1 Investor Splits'!$F$17,'3.1 Investor Splits'!$M15*12,0))))</f>
        <v/>
      </c>
      <c r="AS39" s="140" t="str">
        <f>IF($V39="","",IF('3.1 Investor Splits'!$F$8="Yes",
'3.1 Investor Splits'!$L15*AS$33+IF(AND($V39="GP",'3.1 Investor Splits'!$F$14="Yes"),'3. Rent &amp; Expenses'!$I$25*AS$16),
IF('3.1 Investor Splits'!$J15="GP",AS$33-SUM(AS40:AS58)+IF('3.1 Investor Splits'!$F$14="Yes",'3. Rent &amp; Expenses'!$I$25*AS$16,0),IF(AS$32&lt;='3.1 Investor Splits'!$F$17,'3.1 Investor Splits'!$M15*12,0))))</f>
        <v/>
      </c>
      <c r="AT39" s="140" t="str">
        <f>IF($V39="","",IF('3.1 Investor Splits'!$F$8="Yes",
'3.1 Investor Splits'!$L15*AT$33+IF(AND($V39="GP",'3.1 Investor Splits'!$F$14="Yes"),'3. Rent &amp; Expenses'!$I$25*AT$16),
IF('3.1 Investor Splits'!$J15="GP",AT$33-SUM(AT40:AT58)+IF('3.1 Investor Splits'!$F$14="Yes",'3. Rent &amp; Expenses'!$I$25*AT$16,0),IF(AT$32&lt;='3.1 Investor Splits'!$F$17,'3.1 Investor Splits'!$M15*12,0))))</f>
        <v/>
      </c>
      <c r="AU39" s="140" t="str">
        <f>IF($V39="","",IF('3.1 Investor Splits'!$F$8="Yes",
'3.1 Investor Splits'!$L15*AU$33+IF(AND($V39="GP",'3.1 Investor Splits'!$F$14="Yes"),'3. Rent &amp; Expenses'!$I$25*AU$16),
IF('3.1 Investor Splits'!$J15="GP",AU$33-SUM(AU40:AU58)+IF('3.1 Investor Splits'!$F$14="Yes",'3. Rent &amp; Expenses'!$I$25*AU$16,0),IF(AU$32&lt;='3.1 Investor Splits'!$F$17,'3.1 Investor Splits'!$M15*12,0))))</f>
        <v/>
      </c>
      <c r="AV39" s="140" t="str">
        <f>IF($V39="","",IF('3.1 Investor Splits'!$F$8="Yes",
'3.1 Investor Splits'!$L15*AV$33+IF(AND($V39="GP",'3.1 Investor Splits'!$F$14="Yes"),'3. Rent &amp; Expenses'!$I$25*AV$16),
IF('3.1 Investor Splits'!$J15="GP",AV$33-SUM(AV40:AV58)+IF('3.1 Investor Splits'!$F$14="Yes",'3. Rent &amp; Expenses'!$I$25*AV$16,0),IF(AV$32&lt;='3.1 Investor Splits'!$F$17,'3.1 Investor Splits'!$M15*12,0))))</f>
        <v/>
      </c>
      <c r="AW39" s="140" t="str">
        <f>IF($V39="","",IF('3.1 Investor Splits'!$F$8="Yes",
'3.1 Investor Splits'!$L15*AW$33+IF(AND($V39="GP",'3.1 Investor Splits'!$F$14="Yes"),'3. Rent &amp; Expenses'!$I$25*AW$16),
IF('3.1 Investor Splits'!$J15="GP",AW$33-SUM(AW40:AW58)+IF('3.1 Investor Splits'!$F$14="Yes",'3. Rent &amp; Expenses'!$I$25*AW$16,0),IF(AW$32&lt;='3.1 Investor Splits'!$F$17,'3.1 Investor Splits'!$M15*12,0))))</f>
        <v/>
      </c>
      <c r="AX39" s="140" t="str">
        <f>IF($V39="","",IF('3.1 Investor Splits'!$F$8="Yes",
'3.1 Investor Splits'!$L15*AX$33+IF(AND($V39="GP",'3.1 Investor Splits'!$F$14="Yes"),'3. Rent &amp; Expenses'!$I$25*AX$16),
IF('3.1 Investor Splits'!$J15="GP",AX$33-SUM(AX40:AX58)+IF('3.1 Investor Splits'!$F$14="Yes",'3. Rent &amp; Expenses'!$I$25*AX$16,0),IF(AX$32&lt;='3.1 Investor Splits'!$F$17,'3.1 Investor Splits'!$M15*12,0))))</f>
        <v/>
      </c>
      <c r="AY39" s="140" t="str">
        <f>IF($V39="","",IF('3.1 Investor Splits'!$F$8="Yes",
'3.1 Investor Splits'!$L15*AY$33+IF(AND($V39="GP",'3.1 Investor Splits'!$F$14="Yes"),'3. Rent &amp; Expenses'!$I$25*AY$16),
IF('3.1 Investor Splits'!$J15="GP",AY$33-SUM(AY40:AY58)+IF('3.1 Investor Splits'!$F$14="Yes",'3. Rent &amp; Expenses'!$I$25*AY$16,0),IF(AY$32&lt;='3.1 Investor Splits'!$F$17,'3.1 Investor Splits'!$M15*12,0))))</f>
        <v/>
      </c>
      <c r="AZ39" s="140" t="str">
        <f>IF($V39="","",IF('3.1 Investor Splits'!$F$8="Yes",
'3.1 Investor Splits'!$L15*AZ$33+IF(AND($V39="GP",'3.1 Investor Splits'!$F$14="Yes"),'3. Rent &amp; Expenses'!$I$25*AZ$16),
IF('3.1 Investor Splits'!$J15="GP",AZ$33-SUM(AZ40:AZ58)+IF('3.1 Investor Splits'!$F$14="Yes",'3. Rent &amp; Expenses'!$I$25*AZ$16,0),IF(AZ$32&lt;='3.1 Investor Splits'!$F$17,'3.1 Investor Splits'!$M15*12,0))))</f>
        <v/>
      </c>
    </row>
    <row r="40" spans="2:52" x14ac:dyDescent="0.2">
      <c r="B40" s="19" t="s">
        <v>130</v>
      </c>
      <c r="C40" s="43">
        <f t="shared" ref="C40:L40" si="29">RATE(C28,,-$D$9,C39+$D$9)</f>
        <v>6.2647161558034598E-2</v>
      </c>
      <c r="D40" s="43">
        <f t="shared" si="29"/>
        <v>6.201110336562532E-2</v>
      </c>
      <c r="E40" s="43">
        <f t="shared" si="29"/>
        <v>6.1331615360861375E-2</v>
      </c>
      <c r="F40" s="43">
        <f t="shared" si="29"/>
        <v>6.0628741995566969E-2</v>
      </c>
      <c r="G40" s="43">
        <f t="shared" si="29"/>
        <v>5.9916032002544722E-2</v>
      </c>
      <c r="H40" s="43">
        <f t="shared" si="29"/>
        <v>5.920272479271807E-2</v>
      </c>
      <c r="I40" s="43">
        <f t="shared" si="29"/>
        <v>5.8495140076891543E-2</v>
      </c>
      <c r="J40" s="43">
        <f t="shared" si="29"/>
        <v>5.7797585040414858E-2</v>
      </c>
      <c r="K40" s="43">
        <f t="shared" si="29"/>
        <v>5.7112960229805956E-2</v>
      </c>
      <c r="L40" s="44">
        <f t="shared" si="29"/>
        <v>5.6443172198690404E-2</v>
      </c>
      <c r="V40" s="5" t="str">
        <f>'3.1 Investor Splits'!I16</f>
        <v/>
      </c>
      <c r="W40" s="140" t="str">
        <f>IF($V40="","",IF('3.1 Investor Splits'!$F$8="Yes",
'3.1 Investor Splits'!$L16*W$33+IF(AND($V40="GP",'3.1 Investor Splits'!$F$14="Yes"),'3. Rent &amp; Expenses'!$I$25*W$16),
IF('3.1 Investor Splits'!$J16="GP",W$33-SUM(W41:W59)+IF('3.1 Investor Splits'!$F$14="Yes",'3. Rent &amp; Expenses'!$I$25*W$16,0),IF(W$32&lt;='3.1 Investor Splits'!$F$17,'3.1 Investor Splits'!$M16*12,0))))</f>
        <v/>
      </c>
      <c r="X40" s="140" t="str">
        <f>IF($V40="","",IF('3.1 Investor Splits'!$F$8="Yes",
'3.1 Investor Splits'!$L16*X$33+IF(AND($V40="GP",'3.1 Investor Splits'!$F$14="Yes"),'3. Rent &amp; Expenses'!$I$25*X$16),
IF('3.1 Investor Splits'!$J16="GP",X$33-SUM(X41:X59)+IF('3.1 Investor Splits'!$F$14="Yes",'3. Rent &amp; Expenses'!$I$25*X$16,0),IF(X$32&lt;='3.1 Investor Splits'!$F$17,'3.1 Investor Splits'!$M16*12,0))))</f>
        <v/>
      </c>
      <c r="Y40" s="140" t="str">
        <f>IF($V40="","",IF('3.1 Investor Splits'!$F$8="Yes",
'3.1 Investor Splits'!$L16*Y$33+IF(AND($V40="GP",'3.1 Investor Splits'!$F$14="Yes"),'3. Rent &amp; Expenses'!$I$25*Y$16),
IF('3.1 Investor Splits'!$J16="GP",Y$33-SUM(Y41:Y59)+IF('3.1 Investor Splits'!$F$14="Yes",'3. Rent &amp; Expenses'!$I$25*Y$16,0),IF(Y$32&lt;='3.1 Investor Splits'!$F$17,'3.1 Investor Splits'!$M16*12,0))))</f>
        <v/>
      </c>
      <c r="Z40" s="140" t="str">
        <f>IF($V40="","",IF('3.1 Investor Splits'!$F$8="Yes",
'3.1 Investor Splits'!$L16*Z$33+IF(AND($V40="GP",'3.1 Investor Splits'!$F$14="Yes"),'3. Rent &amp; Expenses'!$I$25*Z$16),
IF('3.1 Investor Splits'!$J16="GP",Z$33-SUM(Z41:Z59)+IF('3.1 Investor Splits'!$F$14="Yes",'3. Rent &amp; Expenses'!$I$25*Z$16,0),IF(Z$32&lt;='3.1 Investor Splits'!$F$17,'3.1 Investor Splits'!$M16*12,0))))</f>
        <v/>
      </c>
      <c r="AA40" s="140" t="str">
        <f>IF($V40="","",IF('3.1 Investor Splits'!$F$8="Yes",
'3.1 Investor Splits'!$L16*AA$33+IF(AND($V40="GP",'3.1 Investor Splits'!$F$14="Yes"),'3. Rent &amp; Expenses'!$I$25*AA$16),
IF('3.1 Investor Splits'!$J16="GP",AA$33-SUM(AA41:AA59)+IF('3.1 Investor Splits'!$F$14="Yes",'3. Rent &amp; Expenses'!$I$25*AA$16,0),IF(AA$32&lt;='3.1 Investor Splits'!$F$17,'3.1 Investor Splits'!$M16*12,0))))</f>
        <v/>
      </c>
      <c r="AB40" s="140" t="str">
        <f>IF($V40="","",IF('3.1 Investor Splits'!$F$8="Yes",
'3.1 Investor Splits'!$L16*AB$33+IF(AND($V40="GP",'3.1 Investor Splits'!$F$14="Yes"),'3. Rent &amp; Expenses'!$I$25*AB$16),
IF('3.1 Investor Splits'!$J16="GP",AB$33-SUM(AB41:AB59)+IF('3.1 Investor Splits'!$F$14="Yes",'3. Rent &amp; Expenses'!$I$25*AB$16,0),IF(AB$32&lt;='3.1 Investor Splits'!$F$17,'3.1 Investor Splits'!$M16*12,0))))</f>
        <v/>
      </c>
      <c r="AC40" s="140" t="str">
        <f>IF($V40="","",IF('3.1 Investor Splits'!$F$8="Yes",
'3.1 Investor Splits'!$L16*AC$33+IF(AND($V40="GP",'3.1 Investor Splits'!$F$14="Yes"),'3. Rent &amp; Expenses'!$I$25*AC$16),
IF('3.1 Investor Splits'!$J16="GP",AC$33-SUM(AC41:AC59)+IF('3.1 Investor Splits'!$F$14="Yes",'3. Rent &amp; Expenses'!$I$25*AC$16,0),IF(AC$32&lt;='3.1 Investor Splits'!$F$17,'3.1 Investor Splits'!$M16*12,0))))</f>
        <v/>
      </c>
      <c r="AD40" s="140" t="str">
        <f>IF($V40="","",IF('3.1 Investor Splits'!$F$8="Yes",
'3.1 Investor Splits'!$L16*AD$33+IF(AND($V40="GP",'3.1 Investor Splits'!$F$14="Yes"),'3. Rent &amp; Expenses'!$I$25*AD$16),
IF('3.1 Investor Splits'!$J16="GP",AD$33-SUM(AD41:AD59)+IF('3.1 Investor Splits'!$F$14="Yes",'3. Rent &amp; Expenses'!$I$25*AD$16,0),IF(AD$32&lt;='3.1 Investor Splits'!$F$17,'3.1 Investor Splits'!$M16*12,0))))</f>
        <v/>
      </c>
      <c r="AE40" s="140" t="str">
        <f>IF($V40="","",IF('3.1 Investor Splits'!$F$8="Yes",
'3.1 Investor Splits'!$L16*AE$33+IF(AND($V40="GP",'3.1 Investor Splits'!$F$14="Yes"),'3. Rent &amp; Expenses'!$I$25*AE$16),
IF('3.1 Investor Splits'!$J16="GP",AE$33-SUM(AE41:AE59)+IF('3.1 Investor Splits'!$F$14="Yes",'3. Rent &amp; Expenses'!$I$25*AE$16,0),IF(AE$32&lt;='3.1 Investor Splits'!$F$17,'3.1 Investor Splits'!$M16*12,0))))</f>
        <v/>
      </c>
      <c r="AF40" s="140" t="str">
        <f>IF($V40="","",IF('3.1 Investor Splits'!$F$8="Yes",
'3.1 Investor Splits'!$L16*AF$33+IF(AND($V40="GP",'3.1 Investor Splits'!$F$14="Yes"),'3. Rent &amp; Expenses'!$I$25*AF$16),
IF('3.1 Investor Splits'!$J16="GP",AF$33-SUM(AF41:AF59)+IF('3.1 Investor Splits'!$F$14="Yes",'3. Rent &amp; Expenses'!$I$25*AF$16,0),IF(AF$32&lt;='3.1 Investor Splits'!$F$17,'3.1 Investor Splits'!$M16*12,0))))</f>
        <v/>
      </c>
      <c r="AG40" s="140" t="str">
        <f>IF($V40="","",IF('3.1 Investor Splits'!$F$8="Yes",
'3.1 Investor Splits'!$L16*AG$33+IF(AND($V40="GP",'3.1 Investor Splits'!$F$14="Yes"),'3. Rent &amp; Expenses'!$I$25*AG$16),
IF('3.1 Investor Splits'!$J16="GP",AG$33-SUM(AG41:AG59)+IF('3.1 Investor Splits'!$F$14="Yes",'3. Rent &amp; Expenses'!$I$25*AG$16,0),IF(AG$32&lt;='3.1 Investor Splits'!$F$17,'3.1 Investor Splits'!$M16*12,0))))</f>
        <v/>
      </c>
      <c r="AH40" s="140" t="str">
        <f>IF($V40="","",IF('3.1 Investor Splits'!$F$8="Yes",
'3.1 Investor Splits'!$L16*AH$33+IF(AND($V40="GP",'3.1 Investor Splits'!$F$14="Yes"),'3. Rent &amp; Expenses'!$I$25*AH$16),
IF('3.1 Investor Splits'!$J16="GP",AH$33-SUM(AH41:AH59)+IF('3.1 Investor Splits'!$F$14="Yes",'3. Rent &amp; Expenses'!$I$25*AH$16,0),IF(AH$32&lt;='3.1 Investor Splits'!$F$17,'3.1 Investor Splits'!$M16*12,0))))</f>
        <v/>
      </c>
      <c r="AI40" s="140" t="str">
        <f>IF($V40="","",IF('3.1 Investor Splits'!$F$8="Yes",
'3.1 Investor Splits'!$L16*AI$33+IF(AND($V40="GP",'3.1 Investor Splits'!$F$14="Yes"),'3. Rent &amp; Expenses'!$I$25*AI$16),
IF('3.1 Investor Splits'!$J16="GP",AI$33-SUM(AI41:AI59)+IF('3.1 Investor Splits'!$F$14="Yes",'3. Rent &amp; Expenses'!$I$25*AI$16,0),IF(AI$32&lt;='3.1 Investor Splits'!$F$17,'3.1 Investor Splits'!$M16*12,0))))</f>
        <v/>
      </c>
      <c r="AJ40" s="140" t="str">
        <f>IF($V40="","",IF('3.1 Investor Splits'!$F$8="Yes",
'3.1 Investor Splits'!$L16*AJ$33+IF(AND($V40="GP",'3.1 Investor Splits'!$F$14="Yes"),'3. Rent &amp; Expenses'!$I$25*AJ$16),
IF('3.1 Investor Splits'!$J16="GP",AJ$33-SUM(AJ41:AJ59)+IF('3.1 Investor Splits'!$F$14="Yes",'3. Rent &amp; Expenses'!$I$25*AJ$16,0),IF(AJ$32&lt;='3.1 Investor Splits'!$F$17,'3.1 Investor Splits'!$M16*12,0))))</f>
        <v/>
      </c>
      <c r="AK40" s="140" t="str">
        <f>IF($V40="","",IF('3.1 Investor Splits'!$F$8="Yes",
'3.1 Investor Splits'!$L16*AK$33+IF(AND($V40="GP",'3.1 Investor Splits'!$F$14="Yes"),'3. Rent &amp; Expenses'!$I$25*AK$16),
IF('3.1 Investor Splits'!$J16="GP",AK$33-SUM(AK41:AK59)+IF('3.1 Investor Splits'!$F$14="Yes",'3. Rent &amp; Expenses'!$I$25*AK$16,0),IF(AK$32&lt;='3.1 Investor Splits'!$F$17,'3.1 Investor Splits'!$M16*12,0))))</f>
        <v/>
      </c>
      <c r="AL40" s="140" t="str">
        <f>IF($V40="","",IF('3.1 Investor Splits'!$F$8="Yes",
'3.1 Investor Splits'!$L16*AL$33+IF(AND($V40="GP",'3.1 Investor Splits'!$F$14="Yes"),'3. Rent &amp; Expenses'!$I$25*AL$16),
IF('3.1 Investor Splits'!$J16="GP",AL$33-SUM(AL41:AL59)+IF('3.1 Investor Splits'!$F$14="Yes",'3. Rent &amp; Expenses'!$I$25*AL$16,0),IF(AL$32&lt;='3.1 Investor Splits'!$F$17,'3.1 Investor Splits'!$M16*12,0))))</f>
        <v/>
      </c>
      <c r="AM40" s="140" t="str">
        <f>IF($V40="","",IF('3.1 Investor Splits'!$F$8="Yes",
'3.1 Investor Splits'!$L16*AM$33+IF(AND($V40="GP",'3.1 Investor Splits'!$F$14="Yes"),'3. Rent &amp; Expenses'!$I$25*AM$16),
IF('3.1 Investor Splits'!$J16="GP",AM$33-SUM(AM41:AM59)+IF('3.1 Investor Splits'!$F$14="Yes",'3. Rent &amp; Expenses'!$I$25*AM$16,0),IF(AM$32&lt;='3.1 Investor Splits'!$F$17,'3.1 Investor Splits'!$M16*12,0))))</f>
        <v/>
      </c>
      <c r="AN40" s="140" t="str">
        <f>IF($V40="","",IF('3.1 Investor Splits'!$F$8="Yes",
'3.1 Investor Splits'!$L16*AN$33+IF(AND($V40="GP",'3.1 Investor Splits'!$F$14="Yes"),'3. Rent &amp; Expenses'!$I$25*AN$16),
IF('3.1 Investor Splits'!$J16="GP",AN$33-SUM(AN41:AN59)+IF('3.1 Investor Splits'!$F$14="Yes",'3. Rent &amp; Expenses'!$I$25*AN$16,0),IF(AN$32&lt;='3.1 Investor Splits'!$F$17,'3.1 Investor Splits'!$M16*12,0))))</f>
        <v/>
      </c>
      <c r="AO40" s="140" t="str">
        <f>IF($V40="","",IF('3.1 Investor Splits'!$F$8="Yes",
'3.1 Investor Splits'!$L16*AO$33+IF(AND($V40="GP",'3.1 Investor Splits'!$F$14="Yes"),'3. Rent &amp; Expenses'!$I$25*AO$16),
IF('3.1 Investor Splits'!$J16="GP",AO$33-SUM(AO41:AO59)+IF('3.1 Investor Splits'!$F$14="Yes",'3. Rent &amp; Expenses'!$I$25*AO$16,0),IF(AO$32&lt;='3.1 Investor Splits'!$F$17,'3.1 Investor Splits'!$M16*12,0))))</f>
        <v/>
      </c>
      <c r="AP40" s="140" t="str">
        <f>IF($V40="","",IF('3.1 Investor Splits'!$F$8="Yes",
'3.1 Investor Splits'!$L16*AP$33+IF(AND($V40="GP",'3.1 Investor Splits'!$F$14="Yes"),'3. Rent &amp; Expenses'!$I$25*AP$16),
IF('3.1 Investor Splits'!$J16="GP",AP$33-SUM(AP41:AP59)+IF('3.1 Investor Splits'!$F$14="Yes",'3. Rent &amp; Expenses'!$I$25*AP$16,0),IF(AP$32&lt;='3.1 Investor Splits'!$F$17,'3.1 Investor Splits'!$M16*12,0))))</f>
        <v/>
      </c>
      <c r="AQ40" s="140" t="str">
        <f>IF($V40="","",IF('3.1 Investor Splits'!$F$8="Yes",
'3.1 Investor Splits'!$L16*AQ$33+IF(AND($V40="GP",'3.1 Investor Splits'!$F$14="Yes"),'3. Rent &amp; Expenses'!$I$25*AQ$16),
IF('3.1 Investor Splits'!$J16="GP",AQ$33-SUM(AQ41:AQ59)+IF('3.1 Investor Splits'!$F$14="Yes",'3. Rent &amp; Expenses'!$I$25*AQ$16,0),IF(AQ$32&lt;='3.1 Investor Splits'!$F$17,'3.1 Investor Splits'!$M16*12,0))))</f>
        <v/>
      </c>
      <c r="AR40" s="140" t="str">
        <f>IF($V40="","",IF('3.1 Investor Splits'!$F$8="Yes",
'3.1 Investor Splits'!$L16*AR$33+IF(AND($V40="GP",'3.1 Investor Splits'!$F$14="Yes"),'3. Rent &amp; Expenses'!$I$25*AR$16),
IF('3.1 Investor Splits'!$J16="GP",AR$33-SUM(AR41:AR59)+IF('3.1 Investor Splits'!$F$14="Yes",'3. Rent &amp; Expenses'!$I$25*AR$16,0),IF(AR$32&lt;='3.1 Investor Splits'!$F$17,'3.1 Investor Splits'!$M16*12,0))))</f>
        <v/>
      </c>
      <c r="AS40" s="140" t="str">
        <f>IF($V40="","",IF('3.1 Investor Splits'!$F$8="Yes",
'3.1 Investor Splits'!$L16*AS$33+IF(AND($V40="GP",'3.1 Investor Splits'!$F$14="Yes"),'3. Rent &amp; Expenses'!$I$25*AS$16),
IF('3.1 Investor Splits'!$J16="GP",AS$33-SUM(AS41:AS59)+IF('3.1 Investor Splits'!$F$14="Yes",'3. Rent &amp; Expenses'!$I$25*AS$16,0),IF(AS$32&lt;='3.1 Investor Splits'!$F$17,'3.1 Investor Splits'!$M16*12,0))))</f>
        <v/>
      </c>
      <c r="AT40" s="140" t="str">
        <f>IF($V40="","",IF('3.1 Investor Splits'!$F$8="Yes",
'3.1 Investor Splits'!$L16*AT$33+IF(AND($V40="GP",'3.1 Investor Splits'!$F$14="Yes"),'3. Rent &amp; Expenses'!$I$25*AT$16),
IF('3.1 Investor Splits'!$J16="GP",AT$33-SUM(AT41:AT59)+IF('3.1 Investor Splits'!$F$14="Yes",'3. Rent &amp; Expenses'!$I$25*AT$16,0),IF(AT$32&lt;='3.1 Investor Splits'!$F$17,'3.1 Investor Splits'!$M16*12,0))))</f>
        <v/>
      </c>
      <c r="AU40" s="140" t="str">
        <f>IF($V40="","",IF('3.1 Investor Splits'!$F$8="Yes",
'3.1 Investor Splits'!$L16*AU$33+IF(AND($V40="GP",'3.1 Investor Splits'!$F$14="Yes"),'3. Rent &amp; Expenses'!$I$25*AU$16),
IF('3.1 Investor Splits'!$J16="GP",AU$33-SUM(AU41:AU59)+IF('3.1 Investor Splits'!$F$14="Yes",'3. Rent &amp; Expenses'!$I$25*AU$16,0),IF(AU$32&lt;='3.1 Investor Splits'!$F$17,'3.1 Investor Splits'!$M16*12,0))))</f>
        <v/>
      </c>
      <c r="AV40" s="140" t="str">
        <f>IF($V40="","",IF('3.1 Investor Splits'!$F$8="Yes",
'3.1 Investor Splits'!$L16*AV$33+IF(AND($V40="GP",'3.1 Investor Splits'!$F$14="Yes"),'3. Rent &amp; Expenses'!$I$25*AV$16),
IF('3.1 Investor Splits'!$J16="GP",AV$33-SUM(AV41:AV59)+IF('3.1 Investor Splits'!$F$14="Yes",'3. Rent &amp; Expenses'!$I$25*AV$16,0),IF(AV$32&lt;='3.1 Investor Splits'!$F$17,'3.1 Investor Splits'!$M16*12,0))))</f>
        <v/>
      </c>
      <c r="AW40" s="140" t="str">
        <f>IF($V40="","",IF('3.1 Investor Splits'!$F$8="Yes",
'3.1 Investor Splits'!$L16*AW$33+IF(AND($V40="GP",'3.1 Investor Splits'!$F$14="Yes"),'3. Rent &amp; Expenses'!$I$25*AW$16),
IF('3.1 Investor Splits'!$J16="GP",AW$33-SUM(AW41:AW59)+IF('3.1 Investor Splits'!$F$14="Yes",'3. Rent &amp; Expenses'!$I$25*AW$16,0),IF(AW$32&lt;='3.1 Investor Splits'!$F$17,'3.1 Investor Splits'!$M16*12,0))))</f>
        <v/>
      </c>
      <c r="AX40" s="140" t="str">
        <f>IF($V40="","",IF('3.1 Investor Splits'!$F$8="Yes",
'3.1 Investor Splits'!$L16*AX$33+IF(AND($V40="GP",'3.1 Investor Splits'!$F$14="Yes"),'3. Rent &amp; Expenses'!$I$25*AX$16),
IF('3.1 Investor Splits'!$J16="GP",AX$33-SUM(AX41:AX59)+IF('3.1 Investor Splits'!$F$14="Yes",'3. Rent &amp; Expenses'!$I$25*AX$16,0),IF(AX$32&lt;='3.1 Investor Splits'!$F$17,'3.1 Investor Splits'!$M16*12,0))))</f>
        <v/>
      </c>
      <c r="AY40" s="140" t="str">
        <f>IF($V40="","",IF('3.1 Investor Splits'!$F$8="Yes",
'3.1 Investor Splits'!$L16*AY$33+IF(AND($V40="GP",'3.1 Investor Splits'!$F$14="Yes"),'3. Rent &amp; Expenses'!$I$25*AY$16),
IF('3.1 Investor Splits'!$J16="GP",AY$33-SUM(AY41:AY59)+IF('3.1 Investor Splits'!$F$14="Yes",'3. Rent &amp; Expenses'!$I$25*AY$16,0),IF(AY$32&lt;='3.1 Investor Splits'!$F$17,'3.1 Investor Splits'!$M16*12,0))))</f>
        <v/>
      </c>
      <c r="AZ40" s="140" t="str">
        <f>IF($V40="","",IF('3.1 Investor Splits'!$F$8="Yes",
'3.1 Investor Splits'!$L16*AZ$33+IF(AND($V40="GP",'3.1 Investor Splits'!$F$14="Yes"),'3. Rent &amp; Expenses'!$I$25*AZ$16),
IF('3.1 Investor Splits'!$J16="GP",AZ$33-SUM(AZ41:AZ59)+IF('3.1 Investor Splits'!$F$14="Yes",'3. Rent &amp; Expenses'!$I$25*AZ$16,0),IF(AZ$32&lt;='3.1 Investor Splits'!$F$17,'3.1 Investor Splits'!$M16*12,0))))</f>
        <v/>
      </c>
    </row>
    <row r="41" spans="2:52" x14ac:dyDescent="0.2">
      <c r="B41" s="15"/>
      <c r="C41" s="16"/>
      <c r="D41" s="17"/>
      <c r="E41" s="17"/>
      <c r="F41" s="17"/>
      <c r="G41" s="17"/>
      <c r="H41" s="17"/>
      <c r="I41" s="17"/>
      <c r="J41" s="17"/>
      <c r="K41" s="17"/>
      <c r="L41" s="41"/>
      <c r="V41" s="5" t="str">
        <f>'3.1 Investor Splits'!I17</f>
        <v/>
      </c>
      <c r="W41" s="140" t="str">
        <f>IF($V41="","",IF('3.1 Investor Splits'!$F$8="Yes",
'3.1 Investor Splits'!$L17*W$33+IF(AND($V41="GP",'3.1 Investor Splits'!$F$14="Yes"),'3. Rent &amp; Expenses'!$I$25*W$16),
IF('3.1 Investor Splits'!$J17="GP",W$33-SUM(W42:W60)+IF('3.1 Investor Splits'!$F$14="Yes",'3. Rent &amp; Expenses'!$I$25*W$16,0),IF(W$32&lt;='3.1 Investor Splits'!$F$17,'3.1 Investor Splits'!$M17*12,0))))</f>
        <v/>
      </c>
      <c r="X41" s="140" t="str">
        <f>IF($V41="","",IF('3.1 Investor Splits'!$F$8="Yes",
'3.1 Investor Splits'!$L17*X$33+IF(AND($V41="GP",'3.1 Investor Splits'!$F$14="Yes"),'3. Rent &amp; Expenses'!$I$25*X$16),
IF('3.1 Investor Splits'!$J17="GP",X$33-SUM(X42:X60)+IF('3.1 Investor Splits'!$F$14="Yes",'3. Rent &amp; Expenses'!$I$25*X$16,0),IF(X$32&lt;='3.1 Investor Splits'!$F$17,'3.1 Investor Splits'!$M17*12,0))))</f>
        <v/>
      </c>
      <c r="Y41" s="140" t="str">
        <f>IF($V41="","",IF('3.1 Investor Splits'!$F$8="Yes",
'3.1 Investor Splits'!$L17*Y$33+IF(AND($V41="GP",'3.1 Investor Splits'!$F$14="Yes"),'3. Rent &amp; Expenses'!$I$25*Y$16),
IF('3.1 Investor Splits'!$J17="GP",Y$33-SUM(Y42:Y60)+IF('3.1 Investor Splits'!$F$14="Yes",'3. Rent &amp; Expenses'!$I$25*Y$16,0),IF(Y$32&lt;='3.1 Investor Splits'!$F$17,'3.1 Investor Splits'!$M17*12,0))))</f>
        <v/>
      </c>
      <c r="Z41" s="140" t="str">
        <f>IF($V41="","",IF('3.1 Investor Splits'!$F$8="Yes",
'3.1 Investor Splits'!$L17*Z$33+IF(AND($V41="GP",'3.1 Investor Splits'!$F$14="Yes"),'3. Rent &amp; Expenses'!$I$25*Z$16),
IF('3.1 Investor Splits'!$J17="GP",Z$33-SUM(Z42:Z60)+IF('3.1 Investor Splits'!$F$14="Yes",'3. Rent &amp; Expenses'!$I$25*Z$16,0),IF(Z$32&lt;='3.1 Investor Splits'!$F$17,'3.1 Investor Splits'!$M17*12,0))))</f>
        <v/>
      </c>
      <c r="AA41" s="140" t="str">
        <f>IF($V41="","",IF('3.1 Investor Splits'!$F$8="Yes",
'3.1 Investor Splits'!$L17*AA$33+IF(AND($V41="GP",'3.1 Investor Splits'!$F$14="Yes"),'3. Rent &amp; Expenses'!$I$25*AA$16),
IF('3.1 Investor Splits'!$J17="GP",AA$33-SUM(AA42:AA60)+IF('3.1 Investor Splits'!$F$14="Yes",'3. Rent &amp; Expenses'!$I$25*AA$16,0),IF(AA$32&lt;='3.1 Investor Splits'!$F$17,'3.1 Investor Splits'!$M17*12,0))))</f>
        <v/>
      </c>
      <c r="AB41" s="140" t="str">
        <f>IF($V41="","",IF('3.1 Investor Splits'!$F$8="Yes",
'3.1 Investor Splits'!$L17*AB$33+IF(AND($V41="GP",'3.1 Investor Splits'!$F$14="Yes"),'3. Rent &amp; Expenses'!$I$25*AB$16),
IF('3.1 Investor Splits'!$J17="GP",AB$33-SUM(AB42:AB60)+IF('3.1 Investor Splits'!$F$14="Yes",'3. Rent &amp; Expenses'!$I$25*AB$16,0),IF(AB$32&lt;='3.1 Investor Splits'!$F$17,'3.1 Investor Splits'!$M17*12,0))))</f>
        <v/>
      </c>
      <c r="AC41" s="140" t="str">
        <f>IF($V41="","",IF('3.1 Investor Splits'!$F$8="Yes",
'3.1 Investor Splits'!$L17*AC$33+IF(AND($V41="GP",'3.1 Investor Splits'!$F$14="Yes"),'3. Rent &amp; Expenses'!$I$25*AC$16),
IF('3.1 Investor Splits'!$J17="GP",AC$33-SUM(AC42:AC60)+IF('3.1 Investor Splits'!$F$14="Yes",'3. Rent &amp; Expenses'!$I$25*AC$16,0),IF(AC$32&lt;='3.1 Investor Splits'!$F$17,'3.1 Investor Splits'!$M17*12,0))))</f>
        <v/>
      </c>
      <c r="AD41" s="140" t="str">
        <f>IF($V41="","",IF('3.1 Investor Splits'!$F$8="Yes",
'3.1 Investor Splits'!$L17*AD$33+IF(AND($V41="GP",'3.1 Investor Splits'!$F$14="Yes"),'3. Rent &amp; Expenses'!$I$25*AD$16),
IF('3.1 Investor Splits'!$J17="GP",AD$33-SUM(AD42:AD60)+IF('3.1 Investor Splits'!$F$14="Yes",'3. Rent &amp; Expenses'!$I$25*AD$16,0),IF(AD$32&lt;='3.1 Investor Splits'!$F$17,'3.1 Investor Splits'!$M17*12,0))))</f>
        <v/>
      </c>
      <c r="AE41" s="140" t="str">
        <f>IF($V41="","",IF('3.1 Investor Splits'!$F$8="Yes",
'3.1 Investor Splits'!$L17*AE$33+IF(AND($V41="GP",'3.1 Investor Splits'!$F$14="Yes"),'3. Rent &amp; Expenses'!$I$25*AE$16),
IF('3.1 Investor Splits'!$J17="GP",AE$33-SUM(AE42:AE60)+IF('3.1 Investor Splits'!$F$14="Yes",'3. Rent &amp; Expenses'!$I$25*AE$16,0),IF(AE$32&lt;='3.1 Investor Splits'!$F$17,'3.1 Investor Splits'!$M17*12,0))))</f>
        <v/>
      </c>
      <c r="AF41" s="140" t="str">
        <f>IF($V41="","",IF('3.1 Investor Splits'!$F$8="Yes",
'3.1 Investor Splits'!$L17*AF$33+IF(AND($V41="GP",'3.1 Investor Splits'!$F$14="Yes"),'3. Rent &amp; Expenses'!$I$25*AF$16),
IF('3.1 Investor Splits'!$J17="GP",AF$33-SUM(AF42:AF60)+IF('3.1 Investor Splits'!$F$14="Yes",'3. Rent &amp; Expenses'!$I$25*AF$16,0),IF(AF$32&lt;='3.1 Investor Splits'!$F$17,'3.1 Investor Splits'!$M17*12,0))))</f>
        <v/>
      </c>
      <c r="AG41" s="140" t="str">
        <f>IF($V41="","",IF('3.1 Investor Splits'!$F$8="Yes",
'3.1 Investor Splits'!$L17*AG$33+IF(AND($V41="GP",'3.1 Investor Splits'!$F$14="Yes"),'3. Rent &amp; Expenses'!$I$25*AG$16),
IF('3.1 Investor Splits'!$J17="GP",AG$33-SUM(AG42:AG60)+IF('3.1 Investor Splits'!$F$14="Yes",'3. Rent &amp; Expenses'!$I$25*AG$16,0),IF(AG$32&lt;='3.1 Investor Splits'!$F$17,'3.1 Investor Splits'!$M17*12,0))))</f>
        <v/>
      </c>
      <c r="AH41" s="140" t="str">
        <f>IF($V41="","",IF('3.1 Investor Splits'!$F$8="Yes",
'3.1 Investor Splits'!$L17*AH$33+IF(AND($V41="GP",'3.1 Investor Splits'!$F$14="Yes"),'3. Rent &amp; Expenses'!$I$25*AH$16),
IF('3.1 Investor Splits'!$J17="GP",AH$33-SUM(AH42:AH60)+IF('3.1 Investor Splits'!$F$14="Yes",'3. Rent &amp; Expenses'!$I$25*AH$16,0),IF(AH$32&lt;='3.1 Investor Splits'!$F$17,'3.1 Investor Splits'!$M17*12,0))))</f>
        <v/>
      </c>
      <c r="AI41" s="140" t="str">
        <f>IF($V41="","",IF('3.1 Investor Splits'!$F$8="Yes",
'3.1 Investor Splits'!$L17*AI$33+IF(AND($V41="GP",'3.1 Investor Splits'!$F$14="Yes"),'3. Rent &amp; Expenses'!$I$25*AI$16),
IF('3.1 Investor Splits'!$J17="GP",AI$33-SUM(AI42:AI60)+IF('3.1 Investor Splits'!$F$14="Yes",'3. Rent &amp; Expenses'!$I$25*AI$16,0),IF(AI$32&lt;='3.1 Investor Splits'!$F$17,'3.1 Investor Splits'!$M17*12,0))))</f>
        <v/>
      </c>
      <c r="AJ41" s="140" t="str">
        <f>IF($V41="","",IF('3.1 Investor Splits'!$F$8="Yes",
'3.1 Investor Splits'!$L17*AJ$33+IF(AND($V41="GP",'3.1 Investor Splits'!$F$14="Yes"),'3. Rent &amp; Expenses'!$I$25*AJ$16),
IF('3.1 Investor Splits'!$J17="GP",AJ$33-SUM(AJ42:AJ60)+IF('3.1 Investor Splits'!$F$14="Yes",'3. Rent &amp; Expenses'!$I$25*AJ$16,0),IF(AJ$32&lt;='3.1 Investor Splits'!$F$17,'3.1 Investor Splits'!$M17*12,0))))</f>
        <v/>
      </c>
      <c r="AK41" s="140" t="str">
        <f>IF($V41="","",IF('3.1 Investor Splits'!$F$8="Yes",
'3.1 Investor Splits'!$L17*AK$33+IF(AND($V41="GP",'3.1 Investor Splits'!$F$14="Yes"),'3. Rent &amp; Expenses'!$I$25*AK$16),
IF('3.1 Investor Splits'!$J17="GP",AK$33-SUM(AK42:AK60)+IF('3.1 Investor Splits'!$F$14="Yes",'3. Rent &amp; Expenses'!$I$25*AK$16,0),IF(AK$32&lt;='3.1 Investor Splits'!$F$17,'3.1 Investor Splits'!$M17*12,0))))</f>
        <v/>
      </c>
      <c r="AL41" s="140" t="str">
        <f>IF($V41="","",IF('3.1 Investor Splits'!$F$8="Yes",
'3.1 Investor Splits'!$L17*AL$33+IF(AND($V41="GP",'3.1 Investor Splits'!$F$14="Yes"),'3. Rent &amp; Expenses'!$I$25*AL$16),
IF('3.1 Investor Splits'!$J17="GP",AL$33-SUM(AL42:AL60)+IF('3.1 Investor Splits'!$F$14="Yes",'3. Rent &amp; Expenses'!$I$25*AL$16,0),IF(AL$32&lt;='3.1 Investor Splits'!$F$17,'3.1 Investor Splits'!$M17*12,0))))</f>
        <v/>
      </c>
      <c r="AM41" s="140" t="str">
        <f>IF($V41="","",IF('3.1 Investor Splits'!$F$8="Yes",
'3.1 Investor Splits'!$L17*AM$33+IF(AND($V41="GP",'3.1 Investor Splits'!$F$14="Yes"),'3. Rent &amp; Expenses'!$I$25*AM$16),
IF('3.1 Investor Splits'!$J17="GP",AM$33-SUM(AM42:AM60)+IF('3.1 Investor Splits'!$F$14="Yes",'3. Rent &amp; Expenses'!$I$25*AM$16,0),IF(AM$32&lt;='3.1 Investor Splits'!$F$17,'3.1 Investor Splits'!$M17*12,0))))</f>
        <v/>
      </c>
      <c r="AN41" s="140" t="str">
        <f>IF($V41="","",IF('3.1 Investor Splits'!$F$8="Yes",
'3.1 Investor Splits'!$L17*AN$33+IF(AND($V41="GP",'3.1 Investor Splits'!$F$14="Yes"),'3. Rent &amp; Expenses'!$I$25*AN$16),
IF('3.1 Investor Splits'!$J17="GP",AN$33-SUM(AN42:AN60)+IF('3.1 Investor Splits'!$F$14="Yes",'3. Rent &amp; Expenses'!$I$25*AN$16,0),IF(AN$32&lt;='3.1 Investor Splits'!$F$17,'3.1 Investor Splits'!$M17*12,0))))</f>
        <v/>
      </c>
      <c r="AO41" s="140" t="str">
        <f>IF($V41="","",IF('3.1 Investor Splits'!$F$8="Yes",
'3.1 Investor Splits'!$L17*AO$33+IF(AND($V41="GP",'3.1 Investor Splits'!$F$14="Yes"),'3. Rent &amp; Expenses'!$I$25*AO$16),
IF('3.1 Investor Splits'!$J17="GP",AO$33-SUM(AO42:AO60)+IF('3.1 Investor Splits'!$F$14="Yes",'3. Rent &amp; Expenses'!$I$25*AO$16,0),IF(AO$32&lt;='3.1 Investor Splits'!$F$17,'3.1 Investor Splits'!$M17*12,0))))</f>
        <v/>
      </c>
      <c r="AP41" s="140" t="str">
        <f>IF($V41="","",IF('3.1 Investor Splits'!$F$8="Yes",
'3.1 Investor Splits'!$L17*AP$33+IF(AND($V41="GP",'3.1 Investor Splits'!$F$14="Yes"),'3. Rent &amp; Expenses'!$I$25*AP$16),
IF('3.1 Investor Splits'!$J17="GP",AP$33-SUM(AP42:AP60)+IF('3.1 Investor Splits'!$F$14="Yes",'3. Rent &amp; Expenses'!$I$25*AP$16,0),IF(AP$32&lt;='3.1 Investor Splits'!$F$17,'3.1 Investor Splits'!$M17*12,0))))</f>
        <v/>
      </c>
      <c r="AQ41" s="140" t="str">
        <f>IF($V41="","",IF('3.1 Investor Splits'!$F$8="Yes",
'3.1 Investor Splits'!$L17*AQ$33+IF(AND($V41="GP",'3.1 Investor Splits'!$F$14="Yes"),'3. Rent &amp; Expenses'!$I$25*AQ$16),
IF('3.1 Investor Splits'!$J17="GP",AQ$33-SUM(AQ42:AQ60)+IF('3.1 Investor Splits'!$F$14="Yes",'3. Rent &amp; Expenses'!$I$25*AQ$16,0),IF(AQ$32&lt;='3.1 Investor Splits'!$F$17,'3.1 Investor Splits'!$M17*12,0))))</f>
        <v/>
      </c>
      <c r="AR41" s="140" t="str">
        <f>IF($V41="","",IF('3.1 Investor Splits'!$F$8="Yes",
'3.1 Investor Splits'!$L17*AR$33+IF(AND($V41="GP",'3.1 Investor Splits'!$F$14="Yes"),'3. Rent &amp; Expenses'!$I$25*AR$16),
IF('3.1 Investor Splits'!$J17="GP",AR$33-SUM(AR42:AR60)+IF('3.1 Investor Splits'!$F$14="Yes",'3. Rent &amp; Expenses'!$I$25*AR$16,0),IF(AR$32&lt;='3.1 Investor Splits'!$F$17,'3.1 Investor Splits'!$M17*12,0))))</f>
        <v/>
      </c>
      <c r="AS41" s="140" t="str">
        <f>IF($V41="","",IF('3.1 Investor Splits'!$F$8="Yes",
'3.1 Investor Splits'!$L17*AS$33+IF(AND($V41="GP",'3.1 Investor Splits'!$F$14="Yes"),'3. Rent &amp; Expenses'!$I$25*AS$16),
IF('3.1 Investor Splits'!$J17="GP",AS$33-SUM(AS42:AS60)+IF('3.1 Investor Splits'!$F$14="Yes",'3. Rent &amp; Expenses'!$I$25*AS$16,0),IF(AS$32&lt;='3.1 Investor Splits'!$F$17,'3.1 Investor Splits'!$M17*12,0))))</f>
        <v/>
      </c>
      <c r="AT41" s="140" t="str">
        <f>IF($V41="","",IF('3.1 Investor Splits'!$F$8="Yes",
'3.1 Investor Splits'!$L17*AT$33+IF(AND($V41="GP",'3.1 Investor Splits'!$F$14="Yes"),'3. Rent &amp; Expenses'!$I$25*AT$16),
IF('3.1 Investor Splits'!$J17="GP",AT$33-SUM(AT42:AT60)+IF('3.1 Investor Splits'!$F$14="Yes",'3. Rent &amp; Expenses'!$I$25*AT$16,0),IF(AT$32&lt;='3.1 Investor Splits'!$F$17,'3.1 Investor Splits'!$M17*12,0))))</f>
        <v/>
      </c>
      <c r="AU41" s="140" t="str">
        <f>IF($V41="","",IF('3.1 Investor Splits'!$F$8="Yes",
'3.1 Investor Splits'!$L17*AU$33+IF(AND($V41="GP",'3.1 Investor Splits'!$F$14="Yes"),'3. Rent &amp; Expenses'!$I$25*AU$16),
IF('3.1 Investor Splits'!$J17="GP",AU$33-SUM(AU42:AU60)+IF('3.1 Investor Splits'!$F$14="Yes",'3. Rent &amp; Expenses'!$I$25*AU$16,0),IF(AU$32&lt;='3.1 Investor Splits'!$F$17,'3.1 Investor Splits'!$M17*12,0))))</f>
        <v/>
      </c>
      <c r="AV41" s="140" t="str">
        <f>IF($V41="","",IF('3.1 Investor Splits'!$F$8="Yes",
'3.1 Investor Splits'!$L17*AV$33+IF(AND($V41="GP",'3.1 Investor Splits'!$F$14="Yes"),'3. Rent &amp; Expenses'!$I$25*AV$16),
IF('3.1 Investor Splits'!$J17="GP",AV$33-SUM(AV42:AV60)+IF('3.1 Investor Splits'!$F$14="Yes",'3. Rent &amp; Expenses'!$I$25*AV$16,0),IF(AV$32&lt;='3.1 Investor Splits'!$F$17,'3.1 Investor Splits'!$M17*12,0))))</f>
        <v/>
      </c>
      <c r="AW41" s="140" t="str">
        <f>IF($V41="","",IF('3.1 Investor Splits'!$F$8="Yes",
'3.1 Investor Splits'!$L17*AW$33+IF(AND($V41="GP",'3.1 Investor Splits'!$F$14="Yes"),'3. Rent &amp; Expenses'!$I$25*AW$16),
IF('3.1 Investor Splits'!$J17="GP",AW$33-SUM(AW42:AW60)+IF('3.1 Investor Splits'!$F$14="Yes",'3. Rent &amp; Expenses'!$I$25*AW$16,0),IF(AW$32&lt;='3.1 Investor Splits'!$F$17,'3.1 Investor Splits'!$M17*12,0))))</f>
        <v/>
      </c>
      <c r="AX41" s="140" t="str">
        <f>IF($V41="","",IF('3.1 Investor Splits'!$F$8="Yes",
'3.1 Investor Splits'!$L17*AX$33+IF(AND($V41="GP",'3.1 Investor Splits'!$F$14="Yes"),'3. Rent &amp; Expenses'!$I$25*AX$16),
IF('3.1 Investor Splits'!$J17="GP",AX$33-SUM(AX42:AX60)+IF('3.1 Investor Splits'!$F$14="Yes",'3. Rent &amp; Expenses'!$I$25*AX$16,0),IF(AX$32&lt;='3.1 Investor Splits'!$F$17,'3.1 Investor Splits'!$M17*12,0))))</f>
        <v/>
      </c>
      <c r="AY41" s="140" t="str">
        <f>IF($V41="","",IF('3.1 Investor Splits'!$F$8="Yes",
'3.1 Investor Splits'!$L17*AY$33+IF(AND($V41="GP",'3.1 Investor Splits'!$F$14="Yes"),'3. Rent &amp; Expenses'!$I$25*AY$16),
IF('3.1 Investor Splits'!$J17="GP",AY$33-SUM(AY42:AY60)+IF('3.1 Investor Splits'!$F$14="Yes",'3. Rent &amp; Expenses'!$I$25*AY$16,0),IF(AY$32&lt;='3.1 Investor Splits'!$F$17,'3.1 Investor Splits'!$M17*12,0))))</f>
        <v/>
      </c>
      <c r="AZ41" s="140" t="str">
        <f>IF($V41="","",IF('3.1 Investor Splits'!$F$8="Yes",
'3.1 Investor Splits'!$L17*AZ$33+IF(AND($V41="GP",'3.1 Investor Splits'!$F$14="Yes"),'3. Rent &amp; Expenses'!$I$25*AZ$16),
IF('3.1 Investor Splits'!$J17="GP",AZ$33-SUM(AZ42:AZ60)+IF('3.1 Investor Splits'!$F$14="Yes",'3. Rent &amp; Expenses'!$I$25*AZ$16,0),IF(AZ$32&lt;='3.1 Investor Splits'!$F$17,'3.1 Investor Splits'!$M17*12,0))))</f>
        <v/>
      </c>
    </row>
    <row r="42" spans="2:52" x14ac:dyDescent="0.2">
      <c r="B42" s="15"/>
      <c r="C42" s="16"/>
      <c r="D42" s="17"/>
      <c r="E42" s="17"/>
      <c r="F42" s="17"/>
      <c r="G42" s="17"/>
      <c r="H42" s="17"/>
      <c r="I42" s="17"/>
      <c r="J42" s="17"/>
      <c r="K42" s="17"/>
      <c r="L42" s="41"/>
      <c r="V42" s="5" t="str">
        <f>'3.1 Investor Splits'!I18</f>
        <v/>
      </c>
      <c r="W42" s="140" t="str">
        <f>IF($V42="","",IF('3.1 Investor Splits'!$F$8="Yes",
'3.1 Investor Splits'!$L18*W$33+IF(AND($V42="GP",'3.1 Investor Splits'!$F$14="Yes"),'3. Rent &amp; Expenses'!$I$25*W$16),
IF('3.1 Investor Splits'!$J18="GP",W$33-SUM(W43:W61)+IF('3.1 Investor Splits'!$F$14="Yes",'3. Rent &amp; Expenses'!$I$25*W$16,0),IF(W$32&lt;='3.1 Investor Splits'!$F$17,'3.1 Investor Splits'!$M18*12,0))))</f>
        <v/>
      </c>
      <c r="X42" s="140" t="str">
        <f>IF($V42="","",IF('3.1 Investor Splits'!$F$8="Yes",
'3.1 Investor Splits'!$L18*X$33+IF(AND($V42="GP",'3.1 Investor Splits'!$F$14="Yes"),'3. Rent &amp; Expenses'!$I$25*X$16),
IF('3.1 Investor Splits'!$J18="GP",X$33-SUM(X43:X61)+IF('3.1 Investor Splits'!$F$14="Yes",'3. Rent &amp; Expenses'!$I$25*X$16,0),IF(X$32&lt;='3.1 Investor Splits'!$F$17,'3.1 Investor Splits'!$M18*12,0))))</f>
        <v/>
      </c>
      <c r="Y42" s="140" t="str">
        <f>IF($V42="","",IF('3.1 Investor Splits'!$F$8="Yes",
'3.1 Investor Splits'!$L18*Y$33+IF(AND($V42="GP",'3.1 Investor Splits'!$F$14="Yes"),'3. Rent &amp; Expenses'!$I$25*Y$16),
IF('3.1 Investor Splits'!$J18="GP",Y$33-SUM(Y43:Y61)+IF('3.1 Investor Splits'!$F$14="Yes",'3. Rent &amp; Expenses'!$I$25*Y$16,0),IF(Y$32&lt;='3.1 Investor Splits'!$F$17,'3.1 Investor Splits'!$M18*12,0))))</f>
        <v/>
      </c>
      <c r="Z42" s="140" t="str">
        <f>IF($V42="","",IF('3.1 Investor Splits'!$F$8="Yes",
'3.1 Investor Splits'!$L18*Z$33+IF(AND($V42="GP",'3.1 Investor Splits'!$F$14="Yes"),'3. Rent &amp; Expenses'!$I$25*Z$16),
IF('3.1 Investor Splits'!$J18="GP",Z$33-SUM(Z43:Z61)+IF('3.1 Investor Splits'!$F$14="Yes",'3. Rent &amp; Expenses'!$I$25*Z$16,0),IF(Z$32&lt;='3.1 Investor Splits'!$F$17,'3.1 Investor Splits'!$M18*12,0))))</f>
        <v/>
      </c>
      <c r="AA42" s="140" t="str">
        <f>IF($V42="","",IF('3.1 Investor Splits'!$F$8="Yes",
'3.1 Investor Splits'!$L18*AA$33+IF(AND($V42="GP",'3.1 Investor Splits'!$F$14="Yes"),'3. Rent &amp; Expenses'!$I$25*AA$16),
IF('3.1 Investor Splits'!$J18="GP",AA$33-SUM(AA43:AA61)+IF('3.1 Investor Splits'!$F$14="Yes",'3. Rent &amp; Expenses'!$I$25*AA$16,0),IF(AA$32&lt;='3.1 Investor Splits'!$F$17,'3.1 Investor Splits'!$M18*12,0))))</f>
        <v/>
      </c>
      <c r="AB42" s="140" t="str">
        <f>IF($V42="","",IF('3.1 Investor Splits'!$F$8="Yes",
'3.1 Investor Splits'!$L18*AB$33+IF(AND($V42="GP",'3.1 Investor Splits'!$F$14="Yes"),'3. Rent &amp; Expenses'!$I$25*AB$16),
IF('3.1 Investor Splits'!$J18="GP",AB$33-SUM(AB43:AB61)+IF('3.1 Investor Splits'!$F$14="Yes",'3. Rent &amp; Expenses'!$I$25*AB$16,0),IF(AB$32&lt;='3.1 Investor Splits'!$F$17,'3.1 Investor Splits'!$M18*12,0))))</f>
        <v/>
      </c>
      <c r="AC42" s="140" t="str">
        <f>IF($V42="","",IF('3.1 Investor Splits'!$F$8="Yes",
'3.1 Investor Splits'!$L18*AC$33+IF(AND($V42="GP",'3.1 Investor Splits'!$F$14="Yes"),'3. Rent &amp; Expenses'!$I$25*AC$16),
IF('3.1 Investor Splits'!$J18="GP",AC$33-SUM(AC43:AC61)+IF('3.1 Investor Splits'!$F$14="Yes",'3. Rent &amp; Expenses'!$I$25*AC$16,0),IF(AC$32&lt;='3.1 Investor Splits'!$F$17,'3.1 Investor Splits'!$M18*12,0))))</f>
        <v/>
      </c>
      <c r="AD42" s="140" t="str">
        <f>IF($V42="","",IF('3.1 Investor Splits'!$F$8="Yes",
'3.1 Investor Splits'!$L18*AD$33+IF(AND($V42="GP",'3.1 Investor Splits'!$F$14="Yes"),'3. Rent &amp; Expenses'!$I$25*AD$16),
IF('3.1 Investor Splits'!$J18="GP",AD$33-SUM(AD43:AD61)+IF('3.1 Investor Splits'!$F$14="Yes",'3. Rent &amp; Expenses'!$I$25*AD$16,0),IF(AD$32&lt;='3.1 Investor Splits'!$F$17,'3.1 Investor Splits'!$M18*12,0))))</f>
        <v/>
      </c>
      <c r="AE42" s="140" t="str">
        <f>IF($V42="","",IF('3.1 Investor Splits'!$F$8="Yes",
'3.1 Investor Splits'!$L18*AE$33+IF(AND($V42="GP",'3.1 Investor Splits'!$F$14="Yes"),'3. Rent &amp; Expenses'!$I$25*AE$16),
IF('3.1 Investor Splits'!$J18="GP",AE$33-SUM(AE43:AE61)+IF('3.1 Investor Splits'!$F$14="Yes",'3. Rent &amp; Expenses'!$I$25*AE$16,0),IF(AE$32&lt;='3.1 Investor Splits'!$F$17,'3.1 Investor Splits'!$M18*12,0))))</f>
        <v/>
      </c>
      <c r="AF42" s="140" t="str">
        <f>IF($V42="","",IF('3.1 Investor Splits'!$F$8="Yes",
'3.1 Investor Splits'!$L18*AF$33+IF(AND($V42="GP",'3.1 Investor Splits'!$F$14="Yes"),'3. Rent &amp; Expenses'!$I$25*AF$16),
IF('3.1 Investor Splits'!$J18="GP",AF$33-SUM(AF43:AF61)+IF('3.1 Investor Splits'!$F$14="Yes",'3. Rent &amp; Expenses'!$I$25*AF$16,0),IF(AF$32&lt;='3.1 Investor Splits'!$F$17,'3.1 Investor Splits'!$M18*12,0))))</f>
        <v/>
      </c>
      <c r="AG42" s="140" t="str">
        <f>IF($V42="","",IF('3.1 Investor Splits'!$F$8="Yes",
'3.1 Investor Splits'!$L18*AG$33+IF(AND($V42="GP",'3.1 Investor Splits'!$F$14="Yes"),'3. Rent &amp; Expenses'!$I$25*AG$16),
IF('3.1 Investor Splits'!$J18="GP",AG$33-SUM(AG43:AG61)+IF('3.1 Investor Splits'!$F$14="Yes",'3. Rent &amp; Expenses'!$I$25*AG$16,0),IF(AG$32&lt;='3.1 Investor Splits'!$F$17,'3.1 Investor Splits'!$M18*12,0))))</f>
        <v/>
      </c>
      <c r="AH42" s="140" t="str">
        <f>IF($V42="","",IF('3.1 Investor Splits'!$F$8="Yes",
'3.1 Investor Splits'!$L18*AH$33+IF(AND($V42="GP",'3.1 Investor Splits'!$F$14="Yes"),'3. Rent &amp; Expenses'!$I$25*AH$16),
IF('3.1 Investor Splits'!$J18="GP",AH$33-SUM(AH43:AH61)+IF('3.1 Investor Splits'!$F$14="Yes",'3. Rent &amp; Expenses'!$I$25*AH$16,0),IF(AH$32&lt;='3.1 Investor Splits'!$F$17,'3.1 Investor Splits'!$M18*12,0))))</f>
        <v/>
      </c>
      <c r="AI42" s="140" t="str">
        <f>IF($V42="","",IF('3.1 Investor Splits'!$F$8="Yes",
'3.1 Investor Splits'!$L18*AI$33+IF(AND($V42="GP",'3.1 Investor Splits'!$F$14="Yes"),'3. Rent &amp; Expenses'!$I$25*AI$16),
IF('3.1 Investor Splits'!$J18="GP",AI$33-SUM(AI43:AI61)+IF('3.1 Investor Splits'!$F$14="Yes",'3. Rent &amp; Expenses'!$I$25*AI$16,0),IF(AI$32&lt;='3.1 Investor Splits'!$F$17,'3.1 Investor Splits'!$M18*12,0))))</f>
        <v/>
      </c>
      <c r="AJ42" s="140" t="str">
        <f>IF($V42="","",IF('3.1 Investor Splits'!$F$8="Yes",
'3.1 Investor Splits'!$L18*AJ$33+IF(AND($V42="GP",'3.1 Investor Splits'!$F$14="Yes"),'3. Rent &amp; Expenses'!$I$25*AJ$16),
IF('3.1 Investor Splits'!$J18="GP",AJ$33-SUM(AJ43:AJ61)+IF('3.1 Investor Splits'!$F$14="Yes",'3. Rent &amp; Expenses'!$I$25*AJ$16,0),IF(AJ$32&lt;='3.1 Investor Splits'!$F$17,'3.1 Investor Splits'!$M18*12,0))))</f>
        <v/>
      </c>
      <c r="AK42" s="140" t="str">
        <f>IF($V42="","",IF('3.1 Investor Splits'!$F$8="Yes",
'3.1 Investor Splits'!$L18*AK$33+IF(AND($V42="GP",'3.1 Investor Splits'!$F$14="Yes"),'3. Rent &amp; Expenses'!$I$25*AK$16),
IF('3.1 Investor Splits'!$J18="GP",AK$33-SUM(AK43:AK61)+IF('3.1 Investor Splits'!$F$14="Yes",'3. Rent &amp; Expenses'!$I$25*AK$16,0),IF(AK$32&lt;='3.1 Investor Splits'!$F$17,'3.1 Investor Splits'!$M18*12,0))))</f>
        <v/>
      </c>
      <c r="AL42" s="140" t="str">
        <f>IF($V42="","",IF('3.1 Investor Splits'!$F$8="Yes",
'3.1 Investor Splits'!$L18*AL$33+IF(AND($V42="GP",'3.1 Investor Splits'!$F$14="Yes"),'3. Rent &amp; Expenses'!$I$25*AL$16),
IF('3.1 Investor Splits'!$J18="GP",AL$33-SUM(AL43:AL61)+IF('3.1 Investor Splits'!$F$14="Yes",'3. Rent &amp; Expenses'!$I$25*AL$16,0),IF(AL$32&lt;='3.1 Investor Splits'!$F$17,'3.1 Investor Splits'!$M18*12,0))))</f>
        <v/>
      </c>
      <c r="AM42" s="140" t="str">
        <f>IF($V42="","",IF('3.1 Investor Splits'!$F$8="Yes",
'3.1 Investor Splits'!$L18*AM$33+IF(AND($V42="GP",'3.1 Investor Splits'!$F$14="Yes"),'3. Rent &amp; Expenses'!$I$25*AM$16),
IF('3.1 Investor Splits'!$J18="GP",AM$33-SUM(AM43:AM61)+IF('3.1 Investor Splits'!$F$14="Yes",'3. Rent &amp; Expenses'!$I$25*AM$16,0),IF(AM$32&lt;='3.1 Investor Splits'!$F$17,'3.1 Investor Splits'!$M18*12,0))))</f>
        <v/>
      </c>
      <c r="AN42" s="140" t="str">
        <f>IF($V42="","",IF('3.1 Investor Splits'!$F$8="Yes",
'3.1 Investor Splits'!$L18*AN$33+IF(AND($V42="GP",'3.1 Investor Splits'!$F$14="Yes"),'3. Rent &amp; Expenses'!$I$25*AN$16),
IF('3.1 Investor Splits'!$J18="GP",AN$33-SUM(AN43:AN61)+IF('3.1 Investor Splits'!$F$14="Yes",'3. Rent &amp; Expenses'!$I$25*AN$16,0),IF(AN$32&lt;='3.1 Investor Splits'!$F$17,'3.1 Investor Splits'!$M18*12,0))))</f>
        <v/>
      </c>
      <c r="AO42" s="140" t="str">
        <f>IF($V42="","",IF('3.1 Investor Splits'!$F$8="Yes",
'3.1 Investor Splits'!$L18*AO$33+IF(AND($V42="GP",'3.1 Investor Splits'!$F$14="Yes"),'3. Rent &amp; Expenses'!$I$25*AO$16),
IF('3.1 Investor Splits'!$J18="GP",AO$33-SUM(AO43:AO61)+IF('3.1 Investor Splits'!$F$14="Yes",'3. Rent &amp; Expenses'!$I$25*AO$16,0),IF(AO$32&lt;='3.1 Investor Splits'!$F$17,'3.1 Investor Splits'!$M18*12,0))))</f>
        <v/>
      </c>
      <c r="AP42" s="140" t="str">
        <f>IF($V42="","",IF('3.1 Investor Splits'!$F$8="Yes",
'3.1 Investor Splits'!$L18*AP$33+IF(AND($V42="GP",'3.1 Investor Splits'!$F$14="Yes"),'3. Rent &amp; Expenses'!$I$25*AP$16),
IF('3.1 Investor Splits'!$J18="GP",AP$33-SUM(AP43:AP61)+IF('3.1 Investor Splits'!$F$14="Yes",'3. Rent &amp; Expenses'!$I$25*AP$16,0),IF(AP$32&lt;='3.1 Investor Splits'!$F$17,'3.1 Investor Splits'!$M18*12,0))))</f>
        <v/>
      </c>
      <c r="AQ42" s="140" t="str">
        <f>IF($V42="","",IF('3.1 Investor Splits'!$F$8="Yes",
'3.1 Investor Splits'!$L18*AQ$33+IF(AND($V42="GP",'3.1 Investor Splits'!$F$14="Yes"),'3. Rent &amp; Expenses'!$I$25*AQ$16),
IF('3.1 Investor Splits'!$J18="GP",AQ$33-SUM(AQ43:AQ61)+IF('3.1 Investor Splits'!$F$14="Yes",'3. Rent &amp; Expenses'!$I$25*AQ$16,0),IF(AQ$32&lt;='3.1 Investor Splits'!$F$17,'3.1 Investor Splits'!$M18*12,0))))</f>
        <v/>
      </c>
      <c r="AR42" s="140" t="str">
        <f>IF($V42="","",IF('3.1 Investor Splits'!$F$8="Yes",
'3.1 Investor Splits'!$L18*AR$33+IF(AND($V42="GP",'3.1 Investor Splits'!$F$14="Yes"),'3. Rent &amp; Expenses'!$I$25*AR$16),
IF('3.1 Investor Splits'!$J18="GP",AR$33-SUM(AR43:AR61)+IF('3.1 Investor Splits'!$F$14="Yes",'3. Rent &amp; Expenses'!$I$25*AR$16,0),IF(AR$32&lt;='3.1 Investor Splits'!$F$17,'3.1 Investor Splits'!$M18*12,0))))</f>
        <v/>
      </c>
      <c r="AS42" s="140" t="str">
        <f>IF($V42="","",IF('3.1 Investor Splits'!$F$8="Yes",
'3.1 Investor Splits'!$L18*AS$33+IF(AND($V42="GP",'3.1 Investor Splits'!$F$14="Yes"),'3. Rent &amp; Expenses'!$I$25*AS$16),
IF('3.1 Investor Splits'!$J18="GP",AS$33-SUM(AS43:AS61)+IF('3.1 Investor Splits'!$F$14="Yes",'3. Rent &amp; Expenses'!$I$25*AS$16,0),IF(AS$32&lt;='3.1 Investor Splits'!$F$17,'3.1 Investor Splits'!$M18*12,0))))</f>
        <v/>
      </c>
      <c r="AT42" s="140" t="str">
        <f>IF($V42="","",IF('3.1 Investor Splits'!$F$8="Yes",
'3.1 Investor Splits'!$L18*AT$33+IF(AND($V42="GP",'3.1 Investor Splits'!$F$14="Yes"),'3. Rent &amp; Expenses'!$I$25*AT$16),
IF('3.1 Investor Splits'!$J18="GP",AT$33-SUM(AT43:AT61)+IF('3.1 Investor Splits'!$F$14="Yes",'3. Rent &amp; Expenses'!$I$25*AT$16,0),IF(AT$32&lt;='3.1 Investor Splits'!$F$17,'3.1 Investor Splits'!$M18*12,0))))</f>
        <v/>
      </c>
      <c r="AU42" s="140" t="str">
        <f>IF($V42="","",IF('3.1 Investor Splits'!$F$8="Yes",
'3.1 Investor Splits'!$L18*AU$33+IF(AND($V42="GP",'3.1 Investor Splits'!$F$14="Yes"),'3. Rent &amp; Expenses'!$I$25*AU$16),
IF('3.1 Investor Splits'!$J18="GP",AU$33-SUM(AU43:AU61)+IF('3.1 Investor Splits'!$F$14="Yes",'3. Rent &amp; Expenses'!$I$25*AU$16,0),IF(AU$32&lt;='3.1 Investor Splits'!$F$17,'3.1 Investor Splits'!$M18*12,0))))</f>
        <v/>
      </c>
      <c r="AV42" s="140" t="str">
        <f>IF($V42="","",IF('3.1 Investor Splits'!$F$8="Yes",
'3.1 Investor Splits'!$L18*AV$33+IF(AND($V42="GP",'3.1 Investor Splits'!$F$14="Yes"),'3. Rent &amp; Expenses'!$I$25*AV$16),
IF('3.1 Investor Splits'!$J18="GP",AV$33-SUM(AV43:AV61)+IF('3.1 Investor Splits'!$F$14="Yes",'3. Rent &amp; Expenses'!$I$25*AV$16,0),IF(AV$32&lt;='3.1 Investor Splits'!$F$17,'3.1 Investor Splits'!$M18*12,0))))</f>
        <v/>
      </c>
      <c r="AW42" s="140" t="str">
        <f>IF($V42="","",IF('3.1 Investor Splits'!$F$8="Yes",
'3.1 Investor Splits'!$L18*AW$33+IF(AND($V42="GP",'3.1 Investor Splits'!$F$14="Yes"),'3. Rent &amp; Expenses'!$I$25*AW$16),
IF('3.1 Investor Splits'!$J18="GP",AW$33-SUM(AW43:AW61)+IF('3.1 Investor Splits'!$F$14="Yes",'3. Rent &amp; Expenses'!$I$25*AW$16,0),IF(AW$32&lt;='3.1 Investor Splits'!$F$17,'3.1 Investor Splits'!$M18*12,0))))</f>
        <v/>
      </c>
      <c r="AX42" s="140" t="str">
        <f>IF($V42="","",IF('3.1 Investor Splits'!$F$8="Yes",
'3.1 Investor Splits'!$L18*AX$33+IF(AND($V42="GP",'3.1 Investor Splits'!$F$14="Yes"),'3. Rent &amp; Expenses'!$I$25*AX$16),
IF('3.1 Investor Splits'!$J18="GP",AX$33-SUM(AX43:AX61)+IF('3.1 Investor Splits'!$F$14="Yes",'3. Rent &amp; Expenses'!$I$25*AX$16,0),IF(AX$32&lt;='3.1 Investor Splits'!$F$17,'3.1 Investor Splits'!$M18*12,0))))</f>
        <v/>
      </c>
      <c r="AY42" s="140" t="str">
        <f>IF($V42="","",IF('3.1 Investor Splits'!$F$8="Yes",
'3.1 Investor Splits'!$L18*AY$33+IF(AND($V42="GP",'3.1 Investor Splits'!$F$14="Yes"),'3. Rent &amp; Expenses'!$I$25*AY$16),
IF('3.1 Investor Splits'!$J18="GP",AY$33-SUM(AY43:AY61)+IF('3.1 Investor Splits'!$F$14="Yes",'3. Rent &amp; Expenses'!$I$25*AY$16,0),IF(AY$32&lt;='3.1 Investor Splits'!$F$17,'3.1 Investor Splits'!$M18*12,0))))</f>
        <v/>
      </c>
      <c r="AZ42" s="140" t="str">
        <f>IF($V42="","",IF('3.1 Investor Splits'!$F$8="Yes",
'3.1 Investor Splits'!$L18*AZ$33+IF(AND($V42="GP",'3.1 Investor Splits'!$F$14="Yes"),'3. Rent &amp; Expenses'!$I$25*AZ$16),
IF('3.1 Investor Splits'!$J18="GP",AZ$33-SUM(AZ43:AZ61)+IF('3.1 Investor Splits'!$F$14="Yes",'3. Rent &amp; Expenses'!$I$25*AZ$16,0),IF(AZ$32&lt;='3.1 Investor Splits'!$F$17,'3.1 Investor Splits'!$M18*12,0))))</f>
        <v/>
      </c>
    </row>
    <row r="43" spans="2:52" x14ac:dyDescent="0.2">
      <c r="B43" s="29"/>
      <c r="C43" s="32">
        <v>21</v>
      </c>
      <c r="D43" s="32">
        <v>22</v>
      </c>
      <c r="E43" s="32">
        <v>23</v>
      </c>
      <c r="F43" s="32">
        <v>24</v>
      </c>
      <c r="G43" s="32">
        <v>25</v>
      </c>
      <c r="H43" s="32">
        <v>26</v>
      </c>
      <c r="I43" s="32">
        <v>27</v>
      </c>
      <c r="J43" s="32">
        <v>28</v>
      </c>
      <c r="K43" s="33">
        <v>29</v>
      </c>
      <c r="L43" s="33">
        <v>30</v>
      </c>
      <c r="V43" s="5" t="str">
        <f>'3.1 Investor Splits'!I19</f>
        <v/>
      </c>
      <c r="W43" s="140" t="str">
        <f>IF($V43="","",IF('3.1 Investor Splits'!$F$8="Yes",
'3.1 Investor Splits'!$L19*W$33+IF(AND($V43="GP",'3.1 Investor Splits'!$F$14="Yes"),'3. Rent &amp; Expenses'!$I$25*W$16),
IF('3.1 Investor Splits'!$J19="GP",W$33-SUM(W44:W62)+IF('3.1 Investor Splits'!$F$14="Yes",'3. Rent &amp; Expenses'!$I$25*W$16,0),IF(W$32&lt;='3.1 Investor Splits'!$F$17,'3.1 Investor Splits'!$M19*12,0))))</f>
        <v/>
      </c>
      <c r="X43" s="140" t="str">
        <f>IF($V43="","",IF('3.1 Investor Splits'!$F$8="Yes",
'3.1 Investor Splits'!$L19*X$33+IF(AND($V43="GP",'3.1 Investor Splits'!$F$14="Yes"),'3. Rent &amp; Expenses'!$I$25*X$16),
IF('3.1 Investor Splits'!$J19="GP",X$33-SUM(X44:X62)+IF('3.1 Investor Splits'!$F$14="Yes",'3. Rent &amp; Expenses'!$I$25*X$16,0),IF(X$32&lt;='3.1 Investor Splits'!$F$17,'3.1 Investor Splits'!$M19*12,0))))</f>
        <v/>
      </c>
      <c r="Y43" s="140" t="str">
        <f>IF($V43="","",IF('3.1 Investor Splits'!$F$8="Yes",
'3.1 Investor Splits'!$L19*Y$33+IF(AND($V43="GP",'3.1 Investor Splits'!$F$14="Yes"),'3. Rent &amp; Expenses'!$I$25*Y$16),
IF('3.1 Investor Splits'!$J19="GP",Y$33-SUM(Y44:Y62)+IF('3.1 Investor Splits'!$F$14="Yes",'3. Rent &amp; Expenses'!$I$25*Y$16,0),IF(Y$32&lt;='3.1 Investor Splits'!$F$17,'3.1 Investor Splits'!$M19*12,0))))</f>
        <v/>
      </c>
      <c r="Z43" s="140" t="str">
        <f>IF($V43="","",IF('3.1 Investor Splits'!$F$8="Yes",
'3.1 Investor Splits'!$L19*Z$33+IF(AND($V43="GP",'3.1 Investor Splits'!$F$14="Yes"),'3. Rent &amp; Expenses'!$I$25*Z$16),
IF('3.1 Investor Splits'!$J19="GP",Z$33-SUM(Z44:Z62)+IF('3.1 Investor Splits'!$F$14="Yes",'3. Rent &amp; Expenses'!$I$25*Z$16,0),IF(Z$32&lt;='3.1 Investor Splits'!$F$17,'3.1 Investor Splits'!$M19*12,0))))</f>
        <v/>
      </c>
      <c r="AA43" s="140" t="str">
        <f>IF($V43="","",IF('3.1 Investor Splits'!$F$8="Yes",
'3.1 Investor Splits'!$L19*AA$33+IF(AND($V43="GP",'3.1 Investor Splits'!$F$14="Yes"),'3. Rent &amp; Expenses'!$I$25*AA$16),
IF('3.1 Investor Splits'!$J19="GP",AA$33-SUM(AA44:AA62)+IF('3.1 Investor Splits'!$F$14="Yes",'3. Rent &amp; Expenses'!$I$25*AA$16,0),IF(AA$32&lt;='3.1 Investor Splits'!$F$17,'3.1 Investor Splits'!$M19*12,0))))</f>
        <v/>
      </c>
      <c r="AB43" s="140" t="str">
        <f>IF($V43="","",IF('3.1 Investor Splits'!$F$8="Yes",
'3.1 Investor Splits'!$L19*AB$33+IF(AND($V43="GP",'3.1 Investor Splits'!$F$14="Yes"),'3. Rent &amp; Expenses'!$I$25*AB$16),
IF('3.1 Investor Splits'!$J19="GP",AB$33-SUM(AB44:AB62)+IF('3.1 Investor Splits'!$F$14="Yes",'3. Rent &amp; Expenses'!$I$25*AB$16,0),IF(AB$32&lt;='3.1 Investor Splits'!$F$17,'3.1 Investor Splits'!$M19*12,0))))</f>
        <v/>
      </c>
      <c r="AC43" s="140" t="str">
        <f>IF($V43="","",IF('3.1 Investor Splits'!$F$8="Yes",
'3.1 Investor Splits'!$L19*AC$33+IF(AND($V43="GP",'3.1 Investor Splits'!$F$14="Yes"),'3. Rent &amp; Expenses'!$I$25*AC$16),
IF('3.1 Investor Splits'!$J19="GP",AC$33-SUM(AC44:AC62)+IF('3.1 Investor Splits'!$F$14="Yes",'3. Rent &amp; Expenses'!$I$25*AC$16,0),IF(AC$32&lt;='3.1 Investor Splits'!$F$17,'3.1 Investor Splits'!$M19*12,0))))</f>
        <v/>
      </c>
      <c r="AD43" s="140" t="str">
        <f>IF($V43="","",IF('3.1 Investor Splits'!$F$8="Yes",
'3.1 Investor Splits'!$L19*AD$33+IF(AND($V43="GP",'3.1 Investor Splits'!$F$14="Yes"),'3. Rent &amp; Expenses'!$I$25*AD$16),
IF('3.1 Investor Splits'!$J19="GP",AD$33-SUM(AD44:AD62)+IF('3.1 Investor Splits'!$F$14="Yes",'3. Rent &amp; Expenses'!$I$25*AD$16,0),IF(AD$32&lt;='3.1 Investor Splits'!$F$17,'3.1 Investor Splits'!$M19*12,0))))</f>
        <v/>
      </c>
      <c r="AE43" s="140" t="str">
        <f>IF($V43="","",IF('3.1 Investor Splits'!$F$8="Yes",
'3.1 Investor Splits'!$L19*AE$33+IF(AND($V43="GP",'3.1 Investor Splits'!$F$14="Yes"),'3. Rent &amp; Expenses'!$I$25*AE$16),
IF('3.1 Investor Splits'!$J19="GP",AE$33-SUM(AE44:AE62)+IF('3.1 Investor Splits'!$F$14="Yes",'3. Rent &amp; Expenses'!$I$25*AE$16,0),IF(AE$32&lt;='3.1 Investor Splits'!$F$17,'3.1 Investor Splits'!$M19*12,0))))</f>
        <v/>
      </c>
      <c r="AF43" s="140" t="str">
        <f>IF($V43="","",IF('3.1 Investor Splits'!$F$8="Yes",
'3.1 Investor Splits'!$L19*AF$33+IF(AND($V43="GP",'3.1 Investor Splits'!$F$14="Yes"),'3. Rent &amp; Expenses'!$I$25*AF$16),
IF('3.1 Investor Splits'!$J19="GP",AF$33-SUM(AF44:AF62)+IF('3.1 Investor Splits'!$F$14="Yes",'3. Rent &amp; Expenses'!$I$25*AF$16,0),IF(AF$32&lt;='3.1 Investor Splits'!$F$17,'3.1 Investor Splits'!$M19*12,0))))</f>
        <v/>
      </c>
      <c r="AG43" s="140" t="str">
        <f>IF($V43="","",IF('3.1 Investor Splits'!$F$8="Yes",
'3.1 Investor Splits'!$L19*AG$33+IF(AND($V43="GP",'3.1 Investor Splits'!$F$14="Yes"),'3. Rent &amp; Expenses'!$I$25*AG$16),
IF('3.1 Investor Splits'!$J19="GP",AG$33-SUM(AG44:AG62)+IF('3.1 Investor Splits'!$F$14="Yes",'3. Rent &amp; Expenses'!$I$25*AG$16,0),IF(AG$32&lt;='3.1 Investor Splits'!$F$17,'3.1 Investor Splits'!$M19*12,0))))</f>
        <v/>
      </c>
      <c r="AH43" s="140" t="str">
        <f>IF($V43="","",IF('3.1 Investor Splits'!$F$8="Yes",
'3.1 Investor Splits'!$L19*AH$33+IF(AND($V43="GP",'3.1 Investor Splits'!$F$14="Yes"),'3. Rent &amp; Expenses'!$I$25*AH$16),
IF('3.1 Investor Splits'!$J19="GP",AH$33-SUM(AH44:AH62)+IF('3.1 Investor Splits'!$F$14="Yes",'3. Rent &amp; Expenses'!$I$25*AH$16,0),IF(AH$32&lt;='3.1 Investor Splits'!$F$17,'3.1 Investor Splits'!$M19*12,0))))</f>
        <v/>
      </c>
      <c r="AI43" s="140" t="str">
        <f>IF($V43="","",IF('3.1 Investor Splits'!$F$8="Yes",
'3.1 Investor Splits'!$L19*AI$33+IF(AND($V43="GP",'3.1 Investor Splits'!$F$14="Yes"),'3. Rent &amp; Expenses'!$I$25*AI$16),
IF('3.1 Investor Splits'!$J19="GP",AI$33-SUM(AI44:AI62)+IF('3.1 Investor Splits'!$F$14="Yes",'3. Rent &amp; Expenses'!$I$25*AI$16,0),IF(AI$32&lt;='3.1 Investor Splits'!$F$17,'3.1 Investor Splits'!$M19*12,0))))</f>
        <v/>
      </c>
      <c r="AJ43" s="140" t="str">
        <f>IF($V43="","",IF('3.1 Investor Splits'!$F$8="Yes",
'3.1 Investor Splits'!$L19*AJ$33+IF(AND($V43="GP",'3.1 Investor Splits'!$F$14="Yes"),'3. Rent &amp; Expenses'!$I$25*AJ$16),
IF('3.1 Investor Splits'!$J19="GP",AJ$33-SUM(AJ44:AJ62)+IF('3.1 Investor Splits'!$F$14="Yes",'3. Rent &amp; Expenses'!$I$25*AJ$16,0),IF(AJ$32&lt;='3.1 Investor Splits'!$F$17,'3.1 Investor Splits'!$M19*12,0))))</f>
        <v/>
      </c>
      <c r="AK43" s="140" t="str">
        <f>IF($V43="","",IF('3.1 Investor Splits'!$F$8="Yes",
'3.1 Investor Splits'!$L19*AK$33+IF(AND($V43="GP",'3.1 Investor Splits'!$F$14="Yes"),'3. Rent &amp; Expenses'!$I$25*AK$16),
IF('3.1 Investor Splits'!$J19="GP",AK$33-SUM(AK44:AK62)+IF('3.1 Investor Splits'!$F$14="Yes",'3. Rent &amp; Expenses'!$I$25*AK$16,0),IF(AK$32&lt;='3.1 Investor Splits'!$F$17,'3.1 Investor Splits'!$M19*12,0))))</f>
        <v/>
      </c>
      <c r="AL43" s="140" t="str">
        <f>IF($V43="","",IF('3.1 Investor Splits'!$F$8="Yes",
'3.1 Investor Splits'!$L19*AL$33+IF(AND($V43="GP",'3.1 Investor Splits'!$F$14="Yes"),'3. Rent &amp; Expenses'!$I$25*AL$16),
IF('3.1 Investor Splits'!$J19="GP",AL$33-SUM(AL44:AL62)+IF('3.1 Investor Splits'!$F$14="Yes",'3. Rent &amp; Expenses'!$I$25*AL$16,0),IF(AL$32&lt;='3.1 Investor Splits'!$F$17,'3.1 Investor Splits'!$M19*12,0))))</f>
        <v/>
      </c>
      <c r="AM43" s="140" t="str">
        <f>IF($V43="","",IF('3.1 Investor Splits'!$F$8="Yes",
'3.1 Investor Splits'!$L19*AM$33+IF(AND($V43="GP",'3.1 Investor Splits'!$F$14="Yes"),'3. Rent &amp; Expenses'!$I$25*AM$16),
IF('3.1 Investor Splits'!$J19="GP",AM$33-SUM(AM44:AM62)+IF('3.1 Investor Splits'!$F$14="Yes",'3. Rent &amp; Expenses'!$I$25*AM$16,0),IF(AM$32&lt;='3.1 Investor Splits'!$F$17,'3.1 Investor Splits'!$M19*12,0))))</f>
        <v/>
      </c>
      <c r="AN43" s="140" t="str">
        <f>IF($V43="","",IF('3.1 Investor Splits'!$F$8="Yes",
'3.1 Investor Splits'!$L19*AN$33+IF(AND($V43="GP",'3.1 Investor Splits'!$F$14="Yes"),'3. Rent &amp; Expenses'!$I$25*AN$16),
IF('3.1 Investor Splits'!$J19="GP",AN$33-SUM(AN44:AN62)+IF('3.1 Investor Splits'!$F$14="Yes",'3. Rent &amp; Expenses'!$I$25*AN$16,0),IF(AN$32&lt;='3.1 Investor Splits'!$F$17,'3.1 Investor Splits'!$M19*12,0))))</f>
        <v/>
      </c>
      <c r="AO43" s="140" t="str">
        <f>IF($V43="","",IF('3.1 Investor Splits'!$F$8="Yes",
'3.1 Investor Splits'!$L19*AO$33+IF(AND($V43="GP",'3.1 Investor Splits'!$F$14="Yes"),'3. Rent &amp; Expenses'!$I$25*AO$16),
IF('3.1 Investor Splits'!$J19="GP",AO$33-SUM(AO44:AO62)+IF('3.1 Investor Splits'!$F$14="Yes",'3. Rent &amp; Expenses'!$I$25*AO$16,0),IF(AO$32&lt;='3.1 Investor Splits'!$F$17,'3.1 Investor Splits'!$M19*12,0))))</f>
        <v/>
      </c>
      <c r="AP43" s="140" t="str">
        <f>IF($V43="","",IF('3.1 Investor Splits'!$F$8="Yes",
'3.1 Investor Splits'!$L19*AP$33+IF(AND($V43="GP",'3.1 Investor Splits'!$F$14="Yes"),'3. Rent &amp; Expenses'!$I$25*AP$16),
IF('3.1 Investor Splits'!$J19="GP",AP$33-SUM(AP44:AP62)+IF('3.1 Investor Splits'!$F$14="Yes",'3. Rent &amp; Expenses'!$I$25*AP$16,0),IF(AP$32&lt;='3.1 Investor Splits'!$F$17,'3.1 Investor Splits'!$M19*12,0))))</f>
        <v/>
      </c>
      <c r="AQ43" s="140" t="str">
        <f>IF($V43="","",IF('3.1 Investor Splits'!$F$8="Yes",
'3.1 Investor Splits'!$L19*AQ$33+IF(AND($V43="GP",'3.1 Investor Splits'!$F$14="Yes"),'3. Rent &amp; Expenses'!$I$25*AQ$16),
IF('3.1 Investor Splits'!$J19="GP",AQ$33-SUM(AQ44:AQ62)+IF('3.1 Investor Splits'!$F$14="Yes",'3. Rent &amp; Expenses'!$I$25*AQ$16,0),IF(AQ$32&lt;='3.1 Investor Splits'!$F$17,'3.1 Investor Splits'!$M19*12,0))))</f>
        <v/>
      </c>
      <c r="AR43" s="140" t="str">
        <f>IF($V43="","",IF('3.1 Investor Splits'!$F$8="Yes",
'3.1 Investor Splits'!$L19*AR$33+IF(AND($V43="GP",'3.1 Investor Splits'!$F$14="Yes"),'3. Rent &amp; Expenses'!$I$25*AR$16),
IF('3.1 Investor Splits'!$J19="GP",AR$33-SUM(AR44:AR62)+IF('3.1 Investor Splits'!$F$14="Yes",'3. Rent &amp; Expenses'!$I$25*AR$16,0),IF(AR$32&lt;='3.1 Investor Splits'!$F$17,'3.1 Investor Splits'!$M19*12,0))))</f>
        <v/>
      </c>
      <c r="AS43" s="140" t="str">
        <f>IF($V43="","",IF('3.1 Investor Splits'!$F$8="Yes",
'3.1 Investor Splits'!$L19*AS$33+IF(AND($V43="GP",'3.1 Investor Splits'!$F$14="Yes"),'3. Rent &amp; Expenses'!$I$25*AS$16),
IF('3.1 Investor Splits'!$J19="GP",AS$33-SUM(AS44:AS62)+IF('3.1 Investor Splits'!$F$14="Yes",'3. Rent &amp; Expenses'!$I$25*AS$16,0),IF(AS$32&lt;='3.1 Investor Splits'!$F$17,'3.1 Investor Splits'!$M19*12,0))))</f>
        <v/>
      </c>
      <c r="AT43" s="140" t="str">
        <f>IF($V43="","",IF('3.1 Investor Splits'!$F$8="Yes",
'3.1 Investor Splits'!$L19*AT$33+IF(AND($V43="GP",'3.1 Investor Splits'!$F$14="Yes"),'3. Rent &amp; Expenses'!$I$25*AT$16),
IF('3.1 Investor Splits'!$J19="GP",AT$33-SUM(AT44:AT62)+IF('3.1 Investor Splits'!$F$14="Yes",'3. Rent &amp; Expenses'!$I$25*AT$16,0),IF(AT$32&lt;='3.1 Investor Splits'!$F$17,'3.1 Investor Splits'!$M19*12,0))))</f>
        <v/>
      </c>
      <c r="AU43" s="140" t="str">
        <f>IF($V43="","",IF('3.1 Investor Splits'!$F$8="Yes",
'3.1 Investor Splits'!$L19*AU$33+IF(AND($V43="GP",'3.1 Investor Splits'!$F$14="Yes"),'3. Rent &amp; Expenses'!$I$25*AU$16),
IF('3.1 Investor Splits'!$J19="GP",AU$33-SUM(AU44:AU62)+IF('3.1 Investor Splits'!$F$14="Yes",'3. Rent &amp; Expenses'!$I$25*AU$16,0),IF(AU$32&lt;='3.1 Investor Splits'!$F$17,'3.1 Investor Splits'!$M19*12,0))))</f>
        <v/>
      </c>
      <c r="AV43" s="140" t="str">
        <f>IF($V43="","",IF('3.1 Investor Splits'!$F$8="Yes",
'3.1 Investor Splits'!$L19*AV$33+IF(AND($V43="GP",'3.1 Investor Splits'!$F$14="Yes"),'3. Rent &amp; Expenses'!$I$25*AV$16),
IF('3.1 Investor Splits'!$J19="GP",AV$33-SUM(AV44:AV62)+IF('3.1 Investor Splits'!$F$14="Yes",'3. Rent &amp; Expenses'!$I$25*AV$16,0),IF(AV$32&lt;='3.1 Investor Splits'!$F$17,'3.1 Investor Splits'!$M19*12,0))))</f>
        <v/>
      </c>
      <c r="AW43" s="140" t="str">
        <f>IF($V43="","",IF('3.1 Investor Splits'!$F$8="Yes",
'3.1 Investor Splits'!$L19*AW$33+IF(AND($V43="GP",'3.1 Investor Splits'!$F$14="Yes"),'3. Rent &amp; Expenses'!$I$25*AW$16),
IF('3.1 Investor Splits'!$J19="GP",AW$33-SUM(AW44:AW62)+IF('3.1 Investor Splits'!$F$14="Yes",'3. Rent &amp; Expenses'!$I$25*AW$16,0),IF(AW$32&lt;='3.1 Investor Splits'!$F$17,'3.1 Investor Splits'!$M19*12,0))))</f>
        <v/>
      </c>
      <c r="AX43" s="140" t="str">
        <f>IF($V43="","",IF('3.1 Investor Splits'!$F$8="Yes",
'3.1 Investor Splits'!$L19*AX$33+IF(AND($V43="GP",'3.1 Investor Splits'!$F$14="Yes"),'3. Rent &amp; Expenses'!$I$25*AX$16),
IF('3.1 Investor Splits'!$J19="GP",AX$33-SUM(AX44:AX62)+IF('3.1 Investor Splits'!$F$14="Yes",'3. Rent &amp; Expenses'!$I$25*AX$16,0),IF(AX$32&lt;='3.1 Investor Splits'!$F$17,'3.1 Investor Splits'!$M19*12,0))))</f>
        <v/>
      </c>
      <c r="AY43" s="140" t="str">
        <f>IF($V43="","",IF('3.1 Investor Splits'!$F$8="Yes",
'3.1 Investor Splits'!$L19*AY$33+IF(AND($V43="GP",'3.1 Investor Splits'!$F$14="Yes"),'3. Rent &amp; Expenses'!$I$25*AY$16),
IF('3.1 Investor Splits'!$J19="GP",AY$33-SUM(AY44:AY62)+IF('3.1 Investor Splits'!$F$14="Yes",'3. Rent &amp; Expenses'!$I$25*AY$16,0),IF(AY$32&lt;='3.1 Investor Splits'!$F$17,'3.1 Investor Splits'!$M19*12,0))))</f>
        <v/>
      </c>
      <c r="AZ43" s="140" t="str">
        <f>IF($V43="","",IF('3.1 Investor Splits'!$F$8="Yes",
'3.1 Investor Splits'!$L19*AZ$33+IF(AND($V43="GP",'3.1 Investor Splits'!$F$14="Yes"),'3. Rent &amp; Expenses'!$I$25*AZ$16),
IF('3.1 Investor Splits'!$J19="GP",AZ$33-SUM(AZ44:AZ62)+IF('3.1 Investor Splits'!$F$14="Yes",'3. Rent &amp; Expenses'!$I$25*AZ$16,0),IF(AZ$32&lt;='3.1 Investor Splits'!$F$17,'3.1 Investor Splits'!$M19*12,0))))</f>
        <v/>
      </c>
    </row>
    <row r="44" spans="2:52" x14ac:dyDescent="0.2">
      <c r="B44" s="11" t="s">
        <v>120</v>
      </c>
      <c r="C44" s="13">
        <f>('4. Report'!$F$46*12)*POWER(1+'3. Rent &amp; Expenses'!$D$29,C$43-1)</f>
        <v>15602.44765777272</v>
      </c>
      <c r="D44" s="13">
        <f>('4. Report'!$F$46*12)*POWER(1+'3. Rent &amp; Expenses'!$D$29,D$43-1)</f>
        <v>15914.496610928172</v>
      </c>
      <c r="E44" s="13">
        <f>('4. Report'!$F$46*12)*POWER(1+'3. Rent &amp; Expenses'!$D$29,E$43-1)</f>
        <v>16232.786543146736</v>
      </c>
      <c r="F44" s="13">
        <f>('4. Report'!$F$46*12)*POWER(1+'3. Rent &amp; Expenses'!$D$29,F$43-1)</f>
        <v>16557.442274009671</v>
      </c>
      <c r="G44" s="13">
        <f>('4. Report'!$F$46*12)*POWER(1+'3. Rent &amp; Expenses'!$D$29,G$43-1)</f>
        <v>16888.591119489862</v>
      </c>
      <c r="H44" s="13">
        <f>('4. Report'!$F$46*12)*POWER(1+'3. Rent &amp; Expenses'!$D$29,H$43-1)</f>
        <v>17226.362941879659</v>
      </c>
      <c r="I44" s="13">
        <f>('4. Report'!$F$46*12)*POWER(1+'3. Rent &amp; Expenses'!$D$29,I$43-1)</f>
        <v>17570.890200717255</v>
      </c>
      <c r="J44" s="13">
        <f>('4. Report'!$F$46*12)*POWER(1+'3. Rent &amp; Expenses'!$D$29,J$43-1)</f>
        <v>17922.308004731596</v>
      </c>
      <c r="K44" s="13">
        <f>('4. Report'!$F$46*12)*POWER(1+'3. Rent &amp; Expenses'!$D$29,K$43-1)</f>
        <v>18280.754164826234</v>
      </c>
      <c r="L44" s="14">
        <f>('4. Report'!$F$46*12)*POWER(1+'3. Rent &amp; Expenses'!$D$29,L$43-1)</f>
        <v>18646.369248122755</v>
      </c>
      <c r="V44" s="5" t="str">
        <f>'3.1 Investor Splits'!I20</f>
        <v/>
      </c>
      <c r="W44" s="140" t="str">
        <f>IF($V44="","",IF('3.1 Investor Splits'!$F$8="Yes",
'3.1 Investor Splits'!$L20*W$33+IF(AND($V44="GP",'3.1 Investor Splits'!$F$14="Yes"),'3. Rent &amp; Expenses'!$I$25*W$16),
IF('3.1 Investor Splits'!$J20="GP",W$33-SUM(W45:W63)+IF('3.1 Investor Splits'!$F$14="Yes",'3. Rent &amp; Expenses'!$I$25*W$16,0),IF(W$32&lt;='3.1 Investor Splits'!$F$17,'3.1 Investor Splits'!$M20*12,0))))</f>
        <v/>
      </c>
      <c r="X44" s="140" t="str">
        <f>IF($V44="","",IF('3.1 Investor Splits'!$F$8="Yes",
'3.1 Investor Splits'!$L20*X$33+IF(AND($V44="GP",'3.1 Investor Splits'!$F$14="Yes"),'3. Rent &amp; Expenses'!$I$25*X$16),
IF('3.1 Investor Splits'!$J20="GP",X$33-SUM(X45:X63)+IF('3.1 Investor Splits'!$F$14="Yes",'3. Rent &amp; Expenses'!$I$25*X$16,0),IF(X$32&lt;='3.1 Investor Splits'!$F$17,'3.1 Investor Splits'!$M20*12,0))))</f>
        <v/>
      </c>
      <c r="Y44" s="140" t="str">
        <f>IF($V44="","",IF('3.1 Investor Splits'!$F$8="Yes",
'3.1 Investor Splits'!$L20*Y$33+IF(AND($V44="GP",'3.1 Investor Splits'!$F$14="Yes"),'3. Rent &amp; Expenses'!$I$25*Y$16),
IF('3.1 Investor Splits'!$J20="GP",Y$33-SUM(Y45:Y63)+IF('3.1 Investor Splits'!$F$14="Yes",'3. Rent &amp; Expenses'!$I$25*Y$16,0),IF(Y$32&lt;='3.1 Investor Splits'!$F$17,'3.1 Investor Splits'!$M20*12,0))))</f>
        <v/>
      </c>
      <c r="Z44" s="140" t="str">
        <f>IF($V44="","",IF('3.1 Investor Splits'!$F$8="Yes",
'3.1 Investor Splits'!$L20*Z$33+IF(AND($V44="GP",'3.1 Investor Splits'!$F$14="Yes"),'3. Rent &amp; Expenses'!$I$25*Z$16),
IF('3.1 Investor Splits'!$J20="GP",Z$33-SUM(Z45:Z63)+IF('3.1 Investor Splits'!$F$14="Yes",'3. Rent &amp; Expenses'!$I$25*Z$16,0),IF(Z$32&lt;='3.1 Investor Splits'!$F$17,'3.1 Investor Splits'!$M20*12,0))))</f>
        <v/>
      </c>
      <c r="AA44" s="140" t="str">
        <f>IF($V44="","",IF('3.1 Investor Splits'!$F$8="Yes",
'3.1 Investor Splits'!$L20*AA$33+IF(AND($V44="GP",'3.1 Investor Splits'!$F$14="Yes"),'3. Rent &amp; Expenses'!$I$25*AA$16),
IF('3.1 Investor Splits'!$J20="GP",AA$33-SUM(AA45:AA63)+IF('3.1 Investor Splits'!$F$14="Yes",'3. Rent &amp; Expenses'!$I$25*AA$16,0),IF(AA$32&lt;='3.1 Investor Splits'!$F$17,'3.1 Investor Splits'!$M20*12,0))))</f>
        <v/>
      </c>
      <c r="AB44" s="140" t="str">
        <f>IF($V44="","",IF('3.1 Investor Splits'!$F$8="Yes",
'3.1 Investor Splits'!$L20*AB$33+IF(AND($V44="GP",'3.1 Investor Splits'!$F$14="Yes"),'3. Rent &amp; Expenses'!$I$25*AB$16),
IF('3.1 Investor Splits'!$J20="GP",AB$33-SUM(AB45:AB63)+IF('3.1 Investor Splits'!$F$14="Yes",'3. Rent &amp; Expenses'!$I$25*AB$16,0),IF(AB$32&lt;='3.1 Investor Splits'!$F$17,'3.1 Investor Splits'!$M20*12,0))))</f>
        <v/>
      </c>
      <c r="AC44" s="140" t="str">
        <f>IF($V44="","",IF('3.1 Investor Splits'!$F$8="Yes",
'3.1 Investor Splits'!$L20*AC$33+IF(AND($V44="GP",'3.1 Investor Splits'!$F$14="Yes"),'3. Rent &amp; Expenses'!$I$25*AC$16),
IF('3.1 Investor Splits'!$J20="GP",AC$33-SUM(AC45:AC63)+IF('3.1 Investor Splits'!$F$14="Yes",'3. Rent &amp; Expenses'!$I$25*AC$16,0),IF(AC$32&lt;='3.1 Investor Splits'!$F$17,'3.1 Investor Splits'!$M20*12,0))))</f>
        <v/>
      </c>
      <c r="AD44" s="140" t="str">
        <f>IF($V44="","",IF('3.1 Investor Splits'!$F$8="Yes",
'3.1 Investor Splits'!$L20*AD$33+IF(AND($V44="GP",'3.1 Investor Splits'!$F$14="Yes"),'3. Rent &amp; Expenses'!$I$25*AD$16),
IF('3.1 Investor Splits'!$J20="GP",AD$33-SUM(AD45:AD63)+IF('3.1 Investor Splits'!$F$14="Yes",'3. Rent &amp; Expenses'!$I$25*AD$16,0),IF(AD$32&lt;='3.1 Investor Splits'!$F$17,'3.1 Investor Splits'!$M20*12,0))))</f>
        <v/>
      </c>
      <c r="AE44" s="140" t="str">
        <f>IF($V44="","",IF('3.1 Investor Splits'!$F$8="Yes",
'3.1 Investor Splits'!$L20*AE$33+IF(AND($V44="GP",'3.1 Investor Splits'!$F$14="Yes"),'3. Rent &amp; Expenses'!$I$25*AE$16),
IF('3.1 Investor Splits'!$J20="GP",AE$33-SUM(AE45:AE63)+IF('3.1 Investor Splits'!$F$14="Yes",'3. Rent &amp; Expenses'!$I$25*AE$16,0),IF(AE$32&lt;='3.1 Investor Splits'!$F$17,'3.1 Investor Splits'!$M20*12,0))))</f>
        <v/>
      </c>
      <c r="AF44" s="140" t="str">
        <f>IF($V44="","",IF('3.1 Investor Splits'!$F$8="Yes",
'3.1 Investor Splits'!$L20*AF$33+IF(AND($V44="GP",'3.1 Investor Splits'!$F$14="Yes"),'3. Rent &amp; Expenses'!$I$25*AF$16),
IF('3.1 Investor Splits'!$J20="GP",AF$33-SUM(AF45:AF63)+IF('3.1 Investor Splits'!$F$14="Yes",'3. Rent &amp; Expenses'!$I$25*AF$16,0),IF(AF$32&lt;='3.1 Investor Splits'!$F$17,'3.1 Investor Splits'!$M20*12,0))))</f>
        <v/>
      </c>
      <c r="AG44" s="140" t="str">
        <f>IF($V44="","",IF('3.1 Investor Splits'!$F$8="Yes",
'3.1 Investor Splits'!$L20*AG$33+IF(AND($V44="GP",'3.1 Investor Splits'!$F$14="Yes"),'3. Rent &amp; Expenses'!$I$25*AG$16),
IF('3.1 Investor Splits'!$J20="GP",AG$33-SUM(AG45:AG63)+IF('3.1 Investor Splits'!$F$14="Yes",'3. Rent &amp; Expenses'!$I$25*AG$16,0),IF(AG$32&lt;='3.1 Investor Splits'!$F$17,'3.1 Investor Splits'!$M20*12,0))))</f>
        <v/>
      </c>
      <c r="AH44" s="140" t="str">
        <f>IF($V44="","",IF('3.1 Investor Splits'!$F$8="Yes",
'3.1 Investor Splits'!$L20*AH$33+IF(AND($V44="GP",'3.1 Investor Splits'!$F$14="Yes"),'3. Rent &amp; Expenses'!$I$25*AH$16),
IF('3.1 Investor Splits'!$J20="GP",AH$33-SUM(AH45:AH63)+IF('3.1 Investor Splits'!$F$14="Yes",'3. Rent &amp; Expenses'!$I$25*AH$16,0),IF(AH$32&lt;='3.1 Investor Splits'!$F$17,'3.1 Investor Splits'!$M20*12,0))))</f>
        <v/>
      </c>
      <c r="AI44" s="140" t="str">
        <f>IF($V44="","",IF('3.1 Investor Splits'!$F$8="Yes",
'3.1 Investor Splits'!$L20*AI$33+IF(AND($V44="GP",'3.1 Investor Splits'!$F$14="Yes"),'3. Rent &amp; Expenses'!$I$25*AI$16),
IF('3.1 Investor Splits'!$J20="GP",AI$33-SUM(AI45:AI63)+IF('3.1 Investor Splits'!$F$14="Yes",'3. Rent &amp; Expenses'!$I$25*AI$16,0),IF(AI$32&lt;='3.1 Investor Splits'!$F$17,'3.1 Investor Splits'!$M20*12,0))))</f>
        <v/>
      </c>
      <c r="AJ44" s="140" t="str">
        <f>IF($V44="","",IF('3.1 Investor Splits'!$F$8="Yes",
'3.1 Investor Splits'!$L20*AJ$33+IF(AND($V44="GP",'3.1 Investor Splits'!$F$14="Yes"),'3. Rent &amp; Expenses'!$I$25*AJ$16),
IF('3.1 Investor Splits'!$J20="GP",AJ$33-SUM(AJ45:AJ63)+IF('3.1 Investor Splits'!$F$14="Yes",'3. Rent &amp; Expenses'!$I$25*AJ$16,0),IF(AJ$32&lt;='3.1 Investor Splits'!$F$17,'3.1 Investor Splits'!$M20*12,0))))</f>
        <v/>
      </c>
      <c r="AK44" s="140" t="str">
        <f>IF($V44="","",IF('3.1 Investor Splits'!$F$8="Yes",
'3.1 Investor Splits'!$L20*AK$33+IF(AND($V44="GP",'3.1 Investor Splits'!$F$14="Yes"),'3. Rent &amp; Expenses'!$I$25*AK$16),
IF('3.1 Investor Splits'!$J20="GP",AK$33-SUM(AK45:AK63)+IF('3.1 Investor Splits'!$F$14="Yes",'3. Rent &amp; Expenses'!$I$25*AK$16,0),IF(AK$32&lt;='3.1 Investor Splits'!$F$17,'3.1 Investor Splits'!$M20*12,0))))</f>
        <v/>
      </c>
      <c r="AL44" s="140" t="str">
        <f>IF($V44="","",IF('3.1 Investor Splits'!$F$8="Yes",
'3.1 Investor Splits'!$L20*AL$33+IF(AND($V44="GP",'3.1 Investor Splits'!$F$14="Yes"),'3. Rent &amp; Expenses'!$I$25*AL$16),
IF('3.1 Investor Splits'!$J20="GP",AL$33-SUM(AL45:AL63)+IF('3.1 Investor Splits'!$F$14="Yes",'3. Rent &amp; Expenses'!$I$25*AL$16,0),IF(AL$32&lt;='3.1 Investor Splits'!$F$17,'3.1 Investor Splits'!$M20*12,0))))</f>
        <v/>
      </c>
      <c r="AM44" s="140" t="str">
        <f>IF($V44="","",IF('3.1 Investor Splits'!$F$8="Yes",
'3.1 Investor Splits'!$L20*AM$33+IF(AND($V44="GP",'3.1 Investor Splits'!$F$14="Yes"),'3. Rent &amp; Expenses'!$I$25*AM$16),
IF('3.1 Investor Splits'!$J20="GP",AM$33-SUM(AM45:AM63)+IF('3.1 Investor Splits'!$F$14="Yes",'3. Rent &amp; Expenses'!$I$25*AM$16,0),IF(AM$32&lt;='3.1 Investor Splits'!$F$17,'3.1 Investor Splits'!$M20*12,0))))</f>
        <v/>
      </c>
      <c r="AN44" s="140" t="str">
        <f>IF($V44="","",IF('3.1 Investor Splits'!$F$8="Yes",
'3.1 Investor Splits'!$L20*AN$33+IF(AND($V44="GP",'3.1 Investor Splits'!$F$14="Yes"),'3. Rent &amp; Expenses'!$I$25*AN$16),
IF('3.1 Investor Splits'!$J20="GP",AN$33-SUM(AN45:AN63)+IF('3.1 Investor Splits'!$F$14="Yes",'3. Rent &amp; Expenses'!$I$25*AN$16,0),IF(AN$32&lt;='3.1 Investor Splits'!$F$17,'3.1 Investor Splits'!$M20*12,0))))</f>
        <v/>
      </c>
      <c r="AO44" s="140" t="str">
        <f>IF($V44="","",IF('3.1 Investor Splits'!$F$8="Yes",
'3.1 Investor Splits'!$L20*AO$33+IF(AND($V44="GP",'3.1 Investor Splits'!$F$14="Yes"),'3. Rent &amp; Expenses'!$I$25*AO$16),
IF('3.1 Investor Splits'!$J20="GP",AO$33-SUM(AO45:AO63)+IF('3.1 Investor Splits'!$F$14="Yes",'3. Rent &amp; Expenses'!$I$25*AO$16,0),IF(AO$32&lt;='3.1 Investor Splits'!$F$17,'3.1 Investor Splits'!$M20*12,0))))</f>
        <v/>
      </c>
      <c r="AP44" s="140" t="str">
        <f>IF($V44="","",IF('3.1 Investor Splits'!$F$8="Yes",
'3.1 Investor Splits'!$L20*AP$33+IF(AND($V44="GP",'3.1 Investor Splits'!$F$14="Yes"),'3. Rent &amp; Expenses'!$I$25*AP$16),
IF('3.1 Investor Splits'!$J20="GP",AP$33-SUM(AP45:AP63)+IF('3.1 Investor Splits'!$F$14="Yes",'3. Rent &amp; Expenses'!$I$25*AP$16,0),IF(AP$32&lt;='3.1 Investor Splits'!$F$17,'3.1 Investor Splits'!$M20*12,0))))</f>
        <v/>
      </c>
      <c r="AQ44" s="140" t="str">
        <f>IF($V44="","",IF('3.1 Investor Splits'!$F$8="Yes",
'3.1 Investor Splits'!$L20*AQ$33+IF(AND($V44="GP",'3.1 Investor Splits'!$F$14="Yes"),'3. Rent &amp; Expenses'!$I$25*AQ$16),
IF('3.1 Investor Splits'!$J20="GP",AQ$33-SUM(AQ45:AQ63)+IF('3.1 Investor Splits'!$F$14="Yes",'3. Rent &amp; Expenses'!$I$25*AQ$16,0),IF(AQ$32&lt;='3.1 Investor Splits'!$F$17,'3.1 Investor Splits'!$M20*12,0))))</f>
        <v/>
      </c>
      <c r="AR44" s="140" t="str">
        <f>IF($V44="","",IF('3.1 Investor Splits'!$F$8="Yes",
'3.1 Investor Splits'!$L20*AR$33+IF(AND($V44="GP",'3.1 Investor Splits'!$F$14="Yes"),'3. Rent &amp; Expenses'!$I$25*AR$16),
IF('3.1 Investor Splits'!$J20="GP",AR$33-SUM(AR45:AR63)+IF('3.1 Investor Splits'!$F$14="Yes",'3. Rent &amp; Expenses'!$I$25*AR$16,0),IF(AR$32&lt;='3.1 Investor Splits'!$F$17,'3.1 Investor Splits'!$M20*12,0))))</f>
        <v/>
      </c>
      <c r="AS44" s="140" t="str">
        <f>IF($V44="","",IF('3.1 Investor Splits'!$F$8="Yes",
'3.1 Investor Splits'!$L20*AS$33+IF(AND($V44="GP",'3.1 Investor Splits'!$F$14="Yes"),'3. Rent &amp; Expenses'!$I$25*AS$16),
IF('3.1 Investor Splits'!$J20="GP",AS$33-SUM(AS45:AS63)+IF('3.1 Investor Splits'!$F$14="Yes",'3. Rent &amp; Expenses'!$I$25*AS$16,0),IF(AS$32&lt;='3.1 Investor Splits'!$F$17,'3.1 Investor Splits'!$M20*12,0))))</f>
        <v/>
      </c>
      <c r="AT44" s="140" t="str">
        <f>IF($V44="","",IF('3.1 Investor Splits'!$F$8="Yes",
'3.1 Investor Splits'!$L20*AT$33+IF(AND($V44="GP",'3.1 Investor Splits'!$F$14="Yes"),'3. Rent &amp; Expenses'!$I$25*AT$16),
IF('3.1 Investor Splits'!$J20="GP",AT$33-SUM(AT45:AT63)+IF('3.1 Investor Splits'!$F$14="Yes",'3. Rent &amp; Expenses'!$I$25*AT$16,0),IF(AT$32&lt;='3.1 Investor Splits'!$F$17,'3.1 Investor Splits'!$M20*12,0))))</f>
        <v/>
      </c>
      <c r="AU44" s="140" t="str">
        <f>IF($V44="","",IF('3.1 Investor Splits'!$F$8="Yes",
'3.1 Investor Splits'!$L20*AU$33+IF(AND($V44="GP",'3.1 Investor Splits'!$F$14="Yes"),'3. Rent &amp; Expenses'!$I$25*AU$16),
IF('3.1 Investor Splits'!$J20="GP",AU$33-SUM(AU45:AU63)+IF('3.1 Investor Splits'!$F$14="Yes",'3. Rent &amp; Expenses'!$I$25*AU$16,0),IF(AU$32&lt;='3.1 Investor Splits'!$F$17,'3.1 Investor Splits'!$M20*12,0))))</f>
        <v/>
      </c>
      <c r="AV44" s="140" t="str">
        <f>IF($V44="","",IF('3.1 Investor Splits'!$F$8="Yes",
'3.1 Investor Splits'!$L20*AV$33+IF(AND($V44="GP",'3.1 Investor Splits'!$F$14="Yes"),'3. Rent &amp; Expenses'!$I$25*AV$16),
IF('3.1 Investor Splits'!$J20="GP",AV$33-SUM(AV45:AV63)+IF('3.1 Investor Splits'!$F$14="Yes",'3. Rent &amp; Expenses'!$I$25*AV$16,0),IF(AV$32&lt;='3.1 Investor Splits'!$F$17,'3.1 Investor Splits'!$M20*12,0))))</f>
        <v/>
      </c>
      <c r="AW44" s="140" t="str">
        <f>IF($V44="","",IF('3.1 Investor Splits'!$F$8="Yes",
'3.1 Investor Splits'!$L20*AW$33+IF(AND($V44="GP",'3.1 Investor Splits'!$F$14="Yes"),'3. Rent &amp; Expenses'!$I$25*AW$16),
IF('3.1 Investor Splits'!$J20="GP",AW$33-SUM(AW45:AW63)+IF('3.1 Investor Splits'!$F$14="Yes",'3. Rent &amp; Expenses'!$I$25*AW$16,0),IF(AW$32&lt;='3.1 Investor Splits'!$F$17,'3.1 Investor Splits'!$M20*12,0))))</f>
        <v/>
      </c>
      <c r="AX44" s="140" t="str">
        <f>IF($V44="","",IF('3.1 Investor Splits'!$F$8="Yes",
'3.1 Investor Splits'!$L20*AX$33+IF(AND($V44="GP",'3.1 Investor Splits'!$F$14="Yes"),'3. Rent &amp; Expenses'!$I$25*AX$16),
IF('3.1 Investor Splits'!$J20="GP",AX$33-SUM(AX45:AX63)+IF('3.1 Investor Splits'!$F$14="Yes",'3. Rent &amp; Expenses'!$I$25*AX$16,0),IF(AX$32&lt;='3.1 Investor Splits'!$F$17,'3.1 Investor Splits'!$M20*12,0))))</f>
        <v/>
      </c>
      <c r="AY44" s="140" t="str">
        <f>IF($V44="","",IF('3.1 Investor Splits'!$F$8="Yes",
'3.1 Investor Splits'!$L20*AY$33+IF(AND($V44="GP",'3.1 Investor Splits'!$F$14="Yes"),'3. Rent &amp; Expenses'!$I$25*AY$16),
IF('3.1 Investor Splits'!$J20="GP",AY$33-SUM(AY45:AY63)+IF('3.1 Investor Splits'!$F$14="Yes",'3. Rent &amp; Expenses'!$I$25*AY$16,0),IF(AY$32&lt;='3.1 Investor Splits'!$F$17,'3.1 Investor Splits'!$M20*12,0))))</f>
        <v/>
      </c>
      <c r="AZ44" s="140" t="str">
        <f>IF($V44="","",IF('3.1 Investor Splits'!$F$8="Yes",
'3.1 Investor Splits'!$L20*AZ$33+IF(AND($V44="GP",'3.1 Investor Splits'!$F$14="Yes"),'3. Rent &amp; Expenses'!$I$25*AZ$16),
IF('3.1 Investor Splits'!$J20="GP",AZ$33-SUM(AZ45:AZ63)+IF('3.1 Investor Splits'!$F$14="Yes",'3. Rent &amp; Expenses'!$I$25*AZ$16,0),IF(AZ$32&lt;='3.1 Investor Splits'!$F$17,'3.1 Investor Splits'!$M20*12,0))))</f>
        <v/>
      </c>
    </row>
    <row r="45" spans="2:52" x14ac:dyDescent="0.2">
      <c r="B45" s="15" t="s">
        <v>121</v>
      </c>
      <c r="C45" s="17">
        <f>SUM(C46:C47)</f>
        <v>6713.5103350302043</v>
      </c>
      <c r="D45" s="17">
        <f t="shared" ref="D45:L45" si="30">SUM(D46:D47)</f>
        <v>6847.7805417308082</v>
      </c>
      <c r="E45" s="17">
        <f t="shared" si="30"/>
        <v>6984.7361525654242</v>
      </c>
      <c r="F45" s="17">
        <f t="shared" si="30"/>
        <v>7124.430875616732</v>
      </c>
      <c r="G45" s="17">
        <f t="shared" si="30"/>
        <v>7266.9194931290667</v>
      </c>
      <c r="H45" s="17">
        <f t="shared" si="30"/>
        <v>7412.2578829916483</v>
      </c>
      <c r="I45" s="17">
        <f t="shared" si="30"/>
        <v>7560.5030406514816</v>
      </c>
      <c r="J45" s="17">
        <f t="shared" si="30"/>
        <v>7711.7131014645101</v>
      </c>
      <c r="K45" s="17">
        <f t="shared" si="30"/>
        <v>7865.9473634938022</v>
      </c>
      <c r="L45" s="18">
        <f t="shared" si="30"/>
        <v>8023.2663107636772</v>
      </c>
      <c r="V45" s="5" t="str">
        <f>'3.1 Investor Splits'!I21</f>
        <v/>
      </c>
      <c r="W45" s="140" t="str">
        <f>IF($V45="","",IF('3.1 Investor Splits'!$F$8="Yes",
'3.1 Investor Splits'!$L21*W$33+IF(AND($V45="GP",'3.1 Investor Splits'!$F$14="Yes"),'3. Rent &amp; Expenses'!$I$25*W$16),
IF('3.1 Investor Splits'!$J21="GP",W$33-SUM(W46:W64)+IF('3.1 Investor Splits'!$F$14="Yes",'3. Rent &amp; Expenses'!$I$25*W$16,0),IF(W$32&lt;='3.1 Investor Splits'!$F$17,'3.1 Investor Splits'!$M21*12,0))))</f>
        <v/>
      </c>
      <c r="X45" s="140" t="str">
        <f>IF($V45="","",IF('3.1 Investor Splits'!$F$8="Yes",
'3.1 Investor Splits'!$L21*X$33+IF(AND($V45="GP",'3.1 Investor Splits'!$F$14="Yes"),'3. Rent &amp; Expenses'!$I$25*X$16),
IF('3.1 Investor Splits'!$J21="GP",X$33-SUM(X46:X64)+IF('3.1 Investor Splits'!$F$14="Yes",'3. Rent &amp; Expenses'!$I$25*X$16,0),IF(X$32&lt;='3.1 Investor Splits'!$F$17,'3.1 Investor Splits'!$M21*12,0))))</f>
        <v/>
      </c>
      <c r="Y45" s="140" t="str">
        <f>IF($V45="","",IF('3.1 Investor Splits'!$F$8="Yes",
'3.1 Investor Splits'!$L21*Y$33+IF(AND($V45="GP",'3.1 Investor Splits'!$F$14="Yes"),'3. Rent &amp; Expenses'!$I$25*Y$16),
IF('3.1 Investor Splits'!$J21="GP",Y$33-SUM(Y46:Y64)+IF('3.1 Investor Splits'!$F$14="Yes",'3. Rent &amp; Expenses'!$I$25*Y$16,0),IF(Y$32&lt;='3.1 Investor Splits'!$F$17,'3.1 Investor Splits'!$M21*12,0))))</f>
        <v/>
      </c>
      <c r="Z45" s="140" t="str">
        <f>IF($V45="","",IF('3.1 Investor Splits'!$F$8="Yes",
'3.1 Investor Splits'!$L21*Z$33+IF(AND($V45="GP",'3.1 Investor Splits'!$F$14="Yes"),'3. Rent &amp; Expenses'!$I$25*Z$16),
IF('3.1 Investor Splits'!$J21="GP",Z$33-SUM(Z46:Z64)+IF('3.1 Investor Splits'!$F$14="Yes",'3. Rent &amp; Expenses'!$I$25*Z$16,0),IF(Z$32&lt;='3.1 Investor Splits'!$F$17,'3.1 Investor Splits'!$M21*12,0))))</f>
        <v/>
      </c>
      <c r="AA45" s="140" t="str">
        <f>IF($V45="","",IF('3.1 Investor Splits'!$F$8="Yes",
'3.1 Investor Splits'!$L21*AA$33+IF(AND($V45="GP",'3.1 Investor Splits'!$F$14="Yes"),'3. Rent &amp; Expenses'!$I$25*AA$16),
IF('3.1 Investor Splits'!$J21="GP",AA$33-SUM(AA46:AA64)+IF('3.1 Investor Splits'!$F$14="Yes",'3. Rent &amp; Expenses'!$I$25*AA$16,0),IF(AA$32&lt;='3.1 Investor Splits'!$F$17,'3.1 Investor Splits'!$M21*12,0))))</f>
        <v/>
      </c>
      <c r="AB45" s="140" t="str">
        <f>IF($V45="","",IF('3.1 Investor Splits'!$F$8="Yes",
'3.1 Investor Splits'!$L21*AB$33+IF(AND($V45="GP",'3.1 Investor Splits'!$F$14="Yes"),'3. Rent &amp; Expenses'!$I$25*AB$16),
IF('3.1 Investor Splits'!$J21="GP",AB$33-SUM(AB46:AB64)+IF('3.1 Investor Splits'!$F$14="Yes",'3. Rent &amp; Expenses'!$I$25*AB$16,0),IF(AB$32&lt;='3.1 Investor Splits'!$F$17,'3.1 Investor Splits'!$M21*12,0))))</f>
        <v/>
      </c>
      <c r="AC45" s="140" t="str">
        <f>IF($V45="","",IF('3.1 Investor Splits'!$F$8="Yes",
'3.1 Investor Splits'!$L21*AC$33+IF(AND($V45="GP",'3.1 Investor Splits'!$F$14="Yes"),'3. Rent &amp; Expenses'!$I$25*AC$16),
IF('3.1 Investor Splits'!$J21="GP",AC$33-SUM(AC46:AC64)+IF('3.1 Investor Splits'!$F$14="Yes",'3. Rent &amp; Expenses'!$I$25*AC$16,0),IF(AC$32&lt;='3.1 Investor Splits'!$F$17,'3.1 Investor Splits'!$M21*12,0))))</f>
        <v/>
      </c>
      <c r="AD45" s="140" t="str">
        <f>IF($V45="","",IF('3.1 Investor Splits'!$F$8="Yes",
'3.1 Investor Splits'!$L21*AD$33+IF(AND($V45="GP",'3.1 Investor Splits'!$F$14="Yes"),'3. Rent &amp; Expenses'!$I$25*AD$16),
IF('3.1 Investor Splits'!$J21="GP",AD$33-SUM(AD46:AD64)+IF('3.1 Investor Splits'!$F$14="Yes",'3. Rent &amp; Expenses'!$I$25*AD$16,0),IF(AD$32&lt;='3.1 Investor Splits'!$F$17,'3.1 Investor Splits'!$M21*12,0))))</f>
        <v/>
      </c>
      <c r="AE45" s="140" t="str">
        <f>IF($V45="","",IF('3.1 Investor Splits'!$F$8="Yes",
'3.1 Investor Splits'!$L21*AE$33+IF(AND($V45="GP",'3.1 Investor Splits'!$F$14="Yes"),'3. Rent &amp; Expenses'!$I$25*AE$16),
IF('3.1 Investor Splits'!$J21="GP",AE$33-SUM(AE46:AE64)+IF('3.1 Investor Splits'!$F$14="Yes",'3. Rent &amp; Expenses'!$I$25*AE$16,0),IF(AE$32&lt;='3.1 Investor Splits'!$F$17,'3.1 Investor Splits'!$M21*12,0))))</f>
        <v/>
      </c>
      <c r="AF45" s="140" t="str">
        <f>IF($V45="","",IF('3.1 Investor Splits'!$F$8="Yes",
'3.1 Investor Splits'!$L21*AF$33+IF(AND($V45="GP",'3.1 Investor Splits'!$F$14="Yes"),'3. Rent &amp; Expenses'!$I$25*AF$16),
IF('3.1 Investor Splits'!$J21="GP",AF$33-SUM(AF46:AF64)+IF('3.1 Investor Splits'!$F$14="Yes",'3. Rent &amp; Expenses'!$I$25*AF$16,0),IF(AF$32&lt;='3.1 Investor Splits'!$F$17,'3.1 Investor Splits'!$M21*12,0))))</f>
        <v/>
      </c>
      <c r="AG45" s="140" t="str">
        <f>IF($V45="","",IF('3.1 Investor Splits'!$F$8="Yes",
'3.1 Investor Splits'!$L21*AG$33+IF(AND($V45="GP",'3.1 Investor Splits'!$F$14="Yes"),'3. Rent &amp; Expenses'!$I$25*AG$16),
IF('3.1 Investor Splits'!$J21="GP",AG$33-SUM(AG46:AG64)+IF('3.1 Investor Splits'!$F$14="Yes",'3. Rent &amp; Expenses'!$I$25*AG$16,0),IF(AG$32&lt;='3.1 Investor Splits'!$F$17,'3.1 Investor Splits'!$M21*12,0))))</f>
        <v/>
      </c>
      <c r="AH45" s="140" t="str">
        <f>IF($V45="","",IF('3.1 Investor Splits'!$F$8="Yes",
'3.1 Investor Splits'!$L21*AH$33+IF(AND($V45="GP",'3.1 Investor Splits'!$F$14="Yes"),'3. Rent &amp; Expenses'!$I$25*AH$16),
IF('3.1 Investor Splits'!$J21="GP",AH$33-SUM(AH46:AH64)+IF('3.1 Investor Splits'!$F$14="Yes",'3. Rent &amp; Expenses'!$I$25*AH$16,0),IF(AH$32&lt;='3.1 Investor Splits'!$F$17,'3.1 Investor Splits'!$M21*12,0))))</f>
        <v/>
      </c>
      <c r="AI45" s="140" t="str">
        <f>IF($V45="","",IF('3.1 Investor Splits'!$F$8="Yes",
'3.1 Investor Splits'!$L21*AI$33+IF(AND($V45="GP",'3.1 Investor Splits'!$F$14="Yes"),'3. Rent &amp; Expenses'!$I$25*AI$16),
IF('3.1 Investor Splits'!$J21="GP",AI$33-SUM(AI46:AI64)+IF('3.1 Investor Splits'!$F$14="Yes",'3. Rent &amp; Expenses'!$I$25*AI$16,0),IF(AI$32&lt;='3.1 Investor Splits'!$F$17,'3.1 Investor Splits'!$M21*12,0))))</f>
        <v/>
      </c>
      <c r="AJ45" s="140" t="str">
        <f>IF($V45="","",IF('3.1 Investor Splits'!$F$8="Yes",
'3.1 Investor Splits'!$L21*AJ$33+IF(AND($V45="GP",'3.1 Investor Splits'!$F$14="Yes"),'3. Rent &amp; Expenses'!$I$25*AJ$16),
IF('3.1 Investor Splits'!$J21="GP",AJ$33-SUM(AJ46:AJ64)+IF('3.1 Investor Splits'!$F$14="Yes",'3. Rent &amp; Expenses'!$I$25*AJ$16,0),IF(AJ$32&lt;='3.1 Investor Splits'!$F$17,'3.1 Investor Splits'!$M21*12,0))))</f>
        <v/>
      </c>
      <c r="AK45" s="140" t="str">
        <f>IF($V45="","",IF('3.1 Investor Splits'!$F$8="Yes",
'3.1 Investor Splits'!$L21*AK$33+IF(AND($V45="GP",'3.1 Investor Splits'!$F$14="Yes"),'3. Rent &amp; Expenses'!$I$25*AK$16),
IF('3.1 Investor Splits'!$J21="GP",AK$33-SUM(AK46:AK64)+IF('3.1 Investor Splits'!$F$14="Yes",'3. Rent &amp; Expenses'!$I$25*AK$16,0),IF(AK$32&lt;='3.1 Investor Splits'!$F$17,'3.1 Investor Splits'!$M21*12,0))))</f>
        <v/>
      </c>
      <c r="AL45" s="140" t="str">
        <f>IF($V45="","",IF('3.1 Investor Splits'!$F$8="Yes",
'3.1 Investor Splits'!$L21*AL$33+IF(AND($V45="GP",'3.1 Investor Splits'!$F$14="Yes"),'3. Rent &amp; Expenses'!$I$25*AL$16),
IF('3.1 Investor Splits'!$J21="GP",AL$33-SUM(AL46:AL64)+IF('3.1 Investor Splits'!$F$14="Yes",'3. Rent &amp; Expenses'!$I$25*AL$16,0),IF(AL$32&lt;='3.1 Investor Splits'!$F$17,'3.1 Investor Splits'!$M21*12,0))))</f>
        <v/>
      </c>
      <c r="AM45" s="140" t="str">
        <f>IF($V45="","",IF('3.1 Investor Splits'!$F$8="Yes",
'3.1 Investor Splits'!$L21*AM$33+IF(AND($V45="GP",'3.1 Investor Splits'!$F$14="Yes"),'3. Rent &amp; Expenses'!$I$25*AM$16),
IF('3.1 Investor Splits'!$J21="GP",AM$33-SUM(AM46:AM64)+IF('3.1 Investor Splits'!$F$14="Yes",'3. Rent &amp; Expenses'!$I$25*AM$16,0),IF(AM$32&lt;='3.1 Investor Splits'!$F$17,'3.1 Investor Splits'!$M21*12,0))))</f>
        <v/>
      </c>
      <c r="AN45" s="140" t="str">
        <f>IF($V45="","",IF('3.1 Investor Splits'!$F$8="Yes",
'3.1 Investor Splits'!$L21*AN$33+IF(AND($V45="GP",'3.1 Investor Splits'!$F$14="Yes"),'3. Rent &amp; Expenses'!$I$25*AN$16),
IF('3.1 Investor Splits'!$J21="GP",AN$33-SUM(AN46:AN64)+IF('3.1 Investor Splits'!$F$14="Yes",'3. Rent &amp; Expenses'!$I$25*AN$16,0),IF(AN$32&lt;='3.1 Investor Splits'!$F$17,'3.1 Investor Splits'!$M21*12,0))))</f>
        <v/>
      </c>
      <c r="AO45" s="140" t="str">
        <f>IF($V45="","",IF('3.1 Investor Splits'!$F$8="Yes",
'3.1 Investor Splits'!$L21*AO$33+IF(AND($V45="GP",'3.1 Investor Splits'!$F$14="Yes"),'3. Rent &amp; Expenses'!$I$25*AO$16),
IF('3.1 Investor Splits'!$J21="GP",AO$33-SUM(AO46:AO64)+IF('3.1 Investor Splits'!$F$14="Yes",'3. Rent &amp; Expenses'!$I$25*AO$16,0),IF(AO$32&lt;='3.1 Investor Splits'!$F$17,'3.1 Investor Splits'!$M21*12,0))))</f>
        <v/>
      </c>
      <c r="AP45" s="140" t="str">
        <f>IF($V45="","",IF('3.1 Investor Splits'!$F$8="Yes",
'3.1 Investor Splits'!$L21*AP$33+IF(AND($V45="GP",'3.1 Investor Splits'!$F$14="Yes"),'3. Rent &amp; Expenses'!$I$25*AP$16),
IF('3.1 Investor Splits'!$J21="GP",AP$33-SUM(AP46:AP64)+IF('3.1 Investor Splits'!$F$14="Yes",'3. Rent &amp; Expenses'!$I$25*AP$16,0),IF(AP$32&lt;='3.1 Investor Splits'!$F$17,'3.1 Investor Splits'!$M21*12,0))))</f>
        <v/>
      </c>
      <c r="AQ45" s="140" t="str">
        <f>IF($V45="","",IF('3.1 Investor Splits'!$F$8="Yes",
'3.1 Investor Splits'!$L21*AQ$33+IF(AND($V45="GP",'3.1 Investor Splits'!$F$14="Yes"),'3. Rent &amp; Expenses'!$I$25*AQ$16),
IF('3.1 Investor Splits'!$J21="GP",AQ$33-SUM(AQ46:AQ64)+IF('3.1 Investor Splits'!$F$14="Yes",'3. Rent &amp; Expenses'!$I$25*AQ$16,0),IF(AQ$32&lt;='3.1 Investor Splits'!$F$17,'3.1 Investor Splits'!$M21*12,0))))</f>
        <v/>
      </c>
      <c r="AR45" s="140" t="str">
        <f>IF($V45="","",IF('3.1 Investor Splits'!$F$8="Yes",
'3.1 Investor Splits'!$L21*AR$33+IF(AND($V45="GP",'3.1 Investor Splits'!$F$14="Yes"),'3. Rent &amp; Expenses'!$I$25*AR$16),
IF('3.1 Investor Splits'!$J21="GP",AR$33-SUM(AR46:AR64)+IF('3.1 Investor Splits'!$F$14="Yes",'3. Rent &amp; Expenses'!$I$25*AR$16,0),IF(AR$32&lt;='3.1 Investor Splits'!$F$17,'3.1 Investor Splits'!$M21*12,0))))</f>
        <v/>
      </c>
      <c r="AS45" s="140" t="str">
        <f>IF($V45="","",IF('3.1 Investor Splits'!$F$8="Yes",
'3.1 Investor Splits'!$L21*AS$33+IF(AND($V45="GP",'3.1 Investor Splits'!$F$14="Yes"),'3. Rent &amp; Expenses'!$I$25*AS$16),
IF('3.1 Investor Splits'!$J21="GP",AS$33-SUM(AS46:AS64)+IF('3.1 Investor Splits'!$F$14="Yes",'3. Rent &amp; Expenses'!$I$25*AS$16,0),IF(AS$32&lt;='3.1 Investor Splits'!$F$17,'3.1 Investor Splits'!$M21*12,0))))</f>
        <v/>
      </c>
      <c r="AT45" s="140" t="str">
        <f>IF($V45="","",IF('3.1 Investor Splits'!$F$8="Yes",
'3.1 Investor Splits'!$L21*AT$33+IF(AND($V45="GP",'3.1 Investor Splits'!$F$14="Yes"),'3. Rent &amp; Expenses'!$I$25*AT$16),
IF('3.1 Investor Splits'!$J21="GP",AT$33-SUM(AT46:AT64)+IF('3.1 Investor Splits'!$F$14="Yes",'3. Rent &amp; Expenses'!$I$25*AT$16,0),IF(AT$32&lt;='3.1 Investor Splits'!$F$17,'3.1 Investor Splits'!$M21*12,0))))</f>
        <v/>
      </c>
      <c r="AU45" s="140" t="str">
        <f>IF($V45="","",IF('3.1 Investor Splits'!$F$8="Yes",
'3.1 Investor Splits'!$L21*AU$33+IF(AND($V45="GP",'3.1 Investor Splits'!$F$14="Yes"),'3. Rent &amp; Expenses'!$I$25*AU$16),
IF('3.1 Investor Splits'!$J21="GP",AU$33-SUM(AU46:AU64)+IF('3.1 Investor Splits'!$F$14="Yes",'3. Rent &amp; Expenses'!$I$25*AU$16,0),IF(AU$32&lt;='3.1 Investor Splits'!$F$17,'3.1 Investor Splits'!$M21*12,0))))</f>
        <v/>
      </c>
      <c r="AV45" s="140" t="str">
        <f>IF($V45="","",IF('3.1 Investor Splits'!$F$8="Yes",
'3.1 Investor Splits'!$L21*AV$33+IF(AND($V45="GP",'3.1 Investor Splits'!$F$14="Yes"),'3. Rent &amp; Expenses'!$I$25*AV$16),
IF('3.1 Investor Splits'!$J21="GP",AV$33-SUM(AV46:AV64)+IF('3.1 Investor Splits'!$F$14="Yes",'3. Rent &amp; Expenses'!$I$25*AV$16,0),IF(AV$32&lt;='3.1 Investor Splits'!$F$17,'3.1 Investor Splits'!$M21*12,0))))</f>
        <v/>
      </c>
      <c r="AW45" s="140" t="str">
        <f>IF($V45="","",IF('3.1 Investor Splits'!$F$8="Yes",
'3.1 Investor Splits'!$L21*AW$33+IF(AND($V45="GP",'3.1 Investor Splits'!$F$14="Yes"),'3. Rent &amp; Expenses'!$I$25*AW$16),
IF('3.1 Investor Splits'!$J21="GP",AW$33-SUM(AW46:AW64)+IF('3.1 Investor Splits'!$F$14="Yes",'3. Rent &amp; Expenses'!$I$25*AW$16,0),IF(AW$32&lt;='3.1 Investor Splits'!$F$17,'3.1 Investor Splits'!$M21*12,0))))</f>
        <v/>
      </c>
      <c r="AX45" s="140" t="str">
        <f>IF($V45="","",IF('3.1 Investor Splits'!$F$8="Yes",
'3.1 Investor Splits'!$L21*AX$33+IF(AND($V45="GP",'3.1 Investor Splits'!$F$14="Yes"),'3. Rent &amp; Expenses'!$I$25*AX$16),
IF('3.1 Investor Splits'!$J21="GP",AX$33-SUM(AX46:AX64)+IF('3.1 Investor Splits'!$F$14="Yes",'3. Rent &amp; Expenses'!$I$25*AX$16,0),IF(AX$32&lt;='3.1 Investor Splits'!$F$17,'3.1 Investor Splits'!$M21*12,0))))</f>
        <v/>
      </c>
      <c r="AY45" s="140" t="str">
        <f>IF($V45="","",IF('3.1 Investor Splits'!$F$8="Yes",
'3.1 Investor Splits'!$L21*AY$33+IF(AND($V45="GP",'3.1 Investor Splits'!$F$14="Yes"),'3. Rent &amp; Expenses'!$I$25*AY$16),
IF('3.1 Investor Splits'!$J21="GP",AY$33-SUM(AY46:AY64)+IF('3.1 Investor Splits'!$F$14="Yes",'3. Rent &amp; Expenses'!$I$25*AY$16,0),IF(AY$32&lt;='3.1 Investor Splits'!$F$17,'3.1 Investor Splits'!$M21*12,0))))</f>
        <v/>
      </c>
      <c r="AZ45" s="140" t="str">
        <f>IF($V45="","",IF('3.1 Investor Splits'!$F$8="Yes",
'3.1 Investor Splits'!$L21*AZ$33+IF(AND($V45="GP",'3.1 Investor Splits'!$F$14="Yes"),'3. Rent &amp; Expenses'!$I$25*AZ$16),
IF('3.1 Investor Splits'!$J21="GP",AZ$33-SUM(AZ46:AZ64)+IF('3.1 Investor Splits'!$F$14="Yes",'3. Rent &amp; Expenses'!$I$25*AZ$16,0),IF(AZ$32&lt;='3.1 Investor Splits'!$F$17,'3.1 Investor Splits'!$M21*12,0))))</f>
        <v/>
      </c>
    </row>
    <row r="46" spans="2:52" x14ac:dyDescent="0.2">
      <c r="B46" s="34" t="s">
        <v>122</v>
      </c>
      <c r="C46" s="17">
        <f>('4. Report'!$D$74*12)*POWER(1+'4. Report'!$D$100,C$43-1)</f>
        <v>6713.5103350302043</v>
      </c>
      <c r="D46" s="17">
        <f>('4. Report'!$D$74*12)*POWER(1+'4. Report'!$D$100,D$43-1)</f>
        <v>6847.7805417308082</v>
      </c>
      <c r="E46" s="17">
        <f>('4. Report'!$D$74*12)*POWER(1+'4. Report'!$D$100,E$43-1)</f>
        <v>6984.7361525654242</v>
      </c>
      <c r="F46" s="17">
        <f>('4. Report'!$D$74*12)*POWER(1+'4. Report'!$D$100,F$43-1)</f>
        <v>7124.430875616732</v>
      </c>
      <c r="G46" s="17">
        <f>('4. Report'!$D$74*12)*POWER(1+'4. Report'!$D$100,G$43-1)</f>
        <v>7266.9194931290667</v>
      </c>
      <c r="H46" s="17">
        <f>('4. Report'!$D$74*12)*POWER(1+'4. Report'!$D$100,H$43-1)</f>
        <v>7412.2578829916483</v>
      </c>
      <c r="I46" s="17">
        <f>('4. Report'!$D$74*12)*POWER(1+'4. Report'!$D$100,I$43-1)</f>
        <v>7560.5030406514816</v>
      </c>
      <c r="J46" s="17">
        <f>('4. Report'!$D$74*12)*POWER(1+'4. Report'!$D$100,J$43-1)</f>
        <v>7711.7131014645101</v>
      </c>
      <c r="K46" s="17">
        <f>('4. Report'!$D$74*12)*POWER(1+'4. Report'!$D$100,K$43-1)</f>
        <v>7865.9473634938022</v>
      </c>
      <c r="L46" s="18">
        <f>('4. Report'!$D$74*12)*POWER(1+'4. Report'!$D$100,L$43-1)</f>
        <v>8023.2663107636772</v>
      </c>
      <c r="V46" s="5" t="str">
        <f>'3.1 Investor Splits'!I22</f>
        <v/>
      </c>
      <c r="W46" s="140" t="str">
        <f>IF($V46="","",IF('3.1 Investor Splits'!$F$8="Yes",
'3.1 Investor Splits'!$L22*W$33+IF(AND($V46="GP",'3.1 Investor Splits'!$F$14="Yes"),'3. Rent &amp; Expenses'!$I$25*W$16),
IF('3.1 Investor Splits'!$J22="GP",W$33-SUM(W47:W65)+IF('3.1 Investor Splits'!$F$14="Yes",'3. Rent &amp; Expenses'!$I$25*W$16,0),IF(W$32&lt;='3.1 Investor Splits'!$F$17,'3.1 Investor Splits'!$M22*12,0))))</f>
        <v/>
      </c>
      <c r="X46" s="140" t="str">
        <f>IF($V46="","",IF('3.1 Investor Splits'!$F$8="Yes",
'3.1 Investor Splits'!$L22*X$33+IF(AND($V46="GP",'3.1 Investor Splits'!$F$14="Yes"),'3. Rent &amp; Expenses'!$I$25*X$16),
IF('3.1 Investor Splits'!$J22="GP",X$33-SUM(X47:X65)+IF('3.1 Investor Splits'!$F$14="Yes",'3. Rent &amp; Expenses'!$I$25*X$16,0),IF(X$32&lt;='3.1 Investor Splits'!$F$17,'3.1 Investor Splits'!$M22*12,0))))</f>
        <v/>
      </c>
      <c r="Y46" s="140" t="str">
        <f>IF($V46="","",IF('3.1 Investor Splits'!$F$8="Yes",
'3.1 Investor Splits'!$L22*Y$33+IF(AND($V46="GP",'3.1 Investor Splits'!$F$14="Yes"),'3. Rent &amp; Expenses'!$I$25*Y$16),
IF('3.1 Investor Splits'!$J22="GP",Y$33-SUM(Y47:Y65)+IF('3.1 Investor Splits'!$F$14="Yes",'3. Rent &amp; Expenses'!$I$25*Y$16,0),IF(Y$32&lt;='3.1 Investor Splits'!$F$17,'3.1 Investor Splits'!$M22*12,0))))</f>
        <v/>
      </c>
      <c r="Z46" s="140" t="str">
        <f>IF($V46="","",IF('3.1 Investor Splits'!$F$8="Yes",
'3.1 Investor Splits'!$L22*Z$33+IF(AND($V46="GP",'3.1 Investor Splits'!$F$14="Yes"),'3. Rent &amp; Expenses'!$I$25*Z$16),
IF('3.1 Investor Splits'!$J22="GP",Z$33-SUM(Z47:Z65)+IF('3.1 Investor Splits'!$F$14="Yes",'3. Rent &amp; Expenses'!$I$25*Z$16,0),IF(Z$32&lt;='3.1 Investor Splits'!$F$17,'3.1 Investor Splits'!$M22*12,0))))</f>
        <v/>
      </c>
      <c r="AA46" s="140" t="str">
        <f>IF($V46="","",IF('3.1 Investor Splits'!$F$8="Yes",
'3.1 Investor Splits'!$L22*AA$33+IF(AND($V46="GP",'3.1 Investor Splits'!$F$14="Yes"),'3. Rent &amp; Expenses'!$I$25*AA$16),
IF('3.1 Investor Splits'!$J22="GP",AA$33-SUM(AA47:AA65)+IF('3.1 Investor Splits'!$F$14="Yes",'3. Rent &amp; Expenses'!$I$25*AA$16,0),IF(AA$32&lt;='3.1 Investor Splits'!$F$17,'3.1 Investor Splits'!$M22*12,0))))</f>
        <v/>
      </c>
      <c r="AB46" s="140" t="str">
        <f>IF($V46="","",IF('3.1 Investor Splits'!$F$8="Yes",
'3.1 Investor Splits'!$L22*AB$33+IF(AND($V46="GP",'3.1 Investor Splits'!$F$14="Yes"),'3. Rent &amp; Expenses'!$I$25*AB$16),
IF('3.1 Investor Splits'!$J22="GP",AB$33-SUM(AB47:AB65)+IF('3.1 Investor Splits'!$F$14="Yes",'3. Rent &amp; Expenses'!$I$25*AB$16,0),IF(AB$32&lt;='3.1 Investor Splits'!$F$17,'3.1 Investor Splits'!$M22*12,0))))</f>
        <v/>
      </c>
      <c r="AC46" s="140" t="str">
        <f>IF($V46="","",IF('3.1 Investor Splits'!$F$8="Yes",
'3.1 Investor Splits'!$L22*AC$33+IF(AND($V46="GP",'3.1 Investor Splits'!$F$14="Yes"),'3. Rent &amp; Expenses'!$I$25*AC$16),
IF('3.1 Investor Splits'!$J22="GP",AC$33-SUM(AC47:AC65)+IF('3.1 Investor Splits'!$F$14="Yes",'3. Rent &amp; Expenses'!$I$25*AC$16,0),IF(AC$32&lt;='3.1 Investor Splits'!$F$17,'3.1 Investor Splits'!$M22*12,0))))</f>
        <v/>
      </c>
      <c r="AD46" s="140" t="str">
        <f>IF($V46="","",IF('3.1 Investor Splits'!$F$8="Yes",
'3.1 Investor Splits'!$L22*AD$33+IF(AND($V46="GP",'3.1 Investor Splits'!$F$14="Yes"),'3. Rent &amp; Expenses'!$I$25*AD$16),
IF('3.1 Investor Splits'!$J22="GP",AD$33-SUM(AD47:AD65)+IF('3.1 Investor Splits'!$F$14="Yes",'3. Rent &amp; Expenses'!$I$25*AD$16,0),IF(AD$32&lt;='3.1 Investor Splits'!$F$17,'3.1 Investor Splits'!$M22*12,0))))</f>
        <v/>
      </c>
      <c r="AE46" s="140" t="str">
        <f>IF($V46="","",IF('3.1 Investor Splits'!$F$8="Yes",
'3.1 Investor Splits'!$L22*AE$33+IF(AND($V46="GP",'3.1 Investor Splits'!$F$14="Yes"),'3. Rent &amp; Expenses'!$I$25*AE$16),
IF('3.1 Investor Splits'!$J22="GP",AE$33-SUM(AE47:AE65)+IF('3.1 Investor Splits'!$F$14="Yes",'3. Rent &amp; Expenses'!$I$25*AE$16,0),IF(AE$32&lt;='3.1 Investor Splits'!$F$17,'3.1 Investor Splits'!$M22*12,0))))</f>
        <v/>
      </c>
      <c r="AF46" s="140" t="str">
        <f>IF($V46="","",IF('3.1 Investor Splits'!$F$8="Yes",
'3.1 Investor Splits'!$L22*AF$33+IF(AND($V46="GP",'3.1 Investor Splits'!$F$14="Yes"),'3. Rent &amp; Expenses'!$I$25*AF$16),
IF('3.1 Investor Splits'!$J22="GP",AF$33-SUM(AF47:AF65)+IF('3.1 Investor Splits'!$F$14="Yes",'3. Rent &amp; Expenses'!$I$25*AF$16,0),IF(AF$32&lt;='3.1 Investor Splits'!$F$17,'3.1 Investor Splits'!$M22*12,0))))</f>
        <v/>
      </c>
      <c r="AG46" s="140" t="str">
        <f>IF($V46="","",IF('3.1 Investor Splits'!$F$8="Yes",
'3.1 Investor Splits'!$L22*AG$33+IF(AND($V46="GP",'3.1 Investor Splits'!$F$14="Yes"),'3. Rent &amp; Expenses'!$I$25*AG$16),
IF('3.1 Investor Splits'!$J22="GP",AG$33-SUM(AG47:AG65)+IF('3.1 Investor Splits'!$F$14="Yes",'3. Rent &amp; Expenses'!$I$25*AG$16,0),IF(AG$32&lt;='3.1 Investor Splits'!$F$17,'3.1 Investor Splits'!$M22*12,0))))</f>
        <v/>
      </c>
      <c r="AH46" s="140" t="str">
        <f>IF($V46="","",IF('3.1 Investor Splits'!$F$8="Yes",
'3.1 Investor Splits'!$L22*AH$33+IF(AND($V46="GP",'3.1 Investor Splits'!$F$14="Yes"),'3. Rent &amp; Expenses'!$I$25*AH$16),
IF('3.1 Investor Splits'!$J22="GP",AH$33-SUM(AH47:AH65)+IF('3.1 Investor Splits'!$F$14="Yes",'3. Rent &amp; Expenses'!$I$25*AH$16,0),IF(AH$32&lt;='3.1 Investor Splits'!$F$17,'3.1 Investor Splits'!$M22*12,0))))</f>
        <v/>
      </c>
      <c r="AI46" s="140" t="str">
        <f>IF($V46="","",IF('3.1 Investor Splits'!$F$8="Yes",
'3.1 Investor Splits'!$L22*AI$33+IF(AND($V46="GP",'3.1 Investor Splits'!$F$14="Yes"),'3. Rent &amp; Expenses'!$I$25*AI$16),
IF('3.1 Investor Splits'!$J22="GP",AI$33-SUM(AI47:AI65)+IF('3.1 Investor Splits'!$F$14="Yes",'3. Rent &amp; Expenses'!$I$25*AI$16,0),IF(AI$32&lt;='3.1 Investor Splits'!$F$17,'3.1 Investor Splits'!$M22*12,0))))</f>
        <v/>
      </c>
      <c r="AJ46" s="140" t="str">
        <f>IF($V46="","",IF('3.1 Investor Splits'!$F$8="Yes",
'3.1 Investor Splits'!$L22*AJ$33+IF(AND($V46="GP",'3.1 Investor Splits'!$F$14="Yes"),'3. Rent &amp; Expenses'!$I$25*AJ$16),
IF('3.1 Investor Splits'!$J22="GP",AJ$33-SUM(AJ47:AJ65)+IF('3.1 Investor Splits'!$F$14="Yes",'3. Rent &amp; Expenses'!$I$25*AJ$16,0),IF(AJ$32&lt;='3.1 Investor Splits'!$F$17,'3.1 Investor Splits'!$M22*12,0))))</f>
        <v/>
      </c>
      <c r="AK46" s="140" t="str">
        <f>IF($V46="","",IF('3.1 Investor Splits'!$F$8="Yes",
'3.1 Investor Splits'!$L22*AK$33+IF(AND($V46="GP",'3.1 Investor Splits'!$F$14="Yes"),'3. Rent &amp; Expenses'!$I$25*AK$16),
IF('3.1 Investor Splits'!$J22="GP",AK$33-SUM(AK47:AK65)+IF('3.1 Investor Splits'!$F$14="Yes",'3. Rent &amp; Expenses'!$I$25*AK$16,0),IF(AK$32&lt;='3.1 Investor Splits'!$F$17,'3.1 Investor Splits'!$M22*12,0))))</f>
        <v/>
      </c>
      <c r="AL46" s="140" t="str">
        <f>IF($V46="","",IF('3.1 Investor Splits'!$F$8="Yes",
'3.1 Investor Splits'!$L22*AL$33+IF(AND($V46="GP",'3.1 Investor Splits'!$F$14="Yes"),'3. Rent &amp; Expenses'!$I$25*AL$16),
IF('3.1 Investor Splits'!$J22="GP",AL$33-SUM(AL47:AL65)+IF('3.1 Investor Splits'!$F$14="Yes",'3. Rent &amp; Expenses'!$I$25*AL$16,0),IF(AL$32&lt;='3.1 Investor Splits'!$F$17,'3.1 Investor Splits'!$M22*12,0))))</f>
        <v/>
      </c>
      <c r="AM46" s="140" t="str">
        <f>IF($V46="","",IF('3.1 Investor Splits'!$F$8="Yes",
'3.1 Investor Splits'!$L22*AM$33+IF(AND($V46="GP",'3.1 Investor Splits'!$F$14="Yes"),'3. Rent &amp; Expenses'!$I$25*AM$16),
IF('3.1 Investor Splits'!$J22="GP",AM$33-SUM(AM47:AM65)+IF('3.1 Investor Splits'!$F$14="Yes",'3. Rent &amp; Expenses'!$I$25*AM$16,0),IF(AM$32&lt;='3.1 Investor Splits'!$F$17,'3.1 Investor Splits'!$M22*12,0))))</f>
        <v/>
      </c>
      <c r="AN46" s="140" t="str">
        <f>IF($V46="","",IF('3.1 Investor Splits'!$F$8="Yes",
'3.1 Investor Splits'!$L22*AN$33+IF(AND($V46="GP",'3.1 Investor Splits'!$F$14="Yes"),'3. Rent &amp; Expenses'!$I$25*AN$16),
IF('3.1 Investor Splits'!$J22="GP",AN$33-SUM(AN47:AN65)+IF('3.1 Investor Splits'!$F$14="Yes",'3. Rent &amp; Expenses'!$I$25*AN$16,0),IF(AN$32&lt;='3.1 Investor Splits'!$F$17,'3.1 Investor Splits'!$M22*12,0))))</f>
        <v/>
      </c>
      <c r="AO46" s="140" t="str">
        <f>IF($V46="","",IF('3.1 Investor Splits'!$F$8="Yes",
'3.1 Investor Splits'!$L22*AO$33+IF(AND($V46="GP",'3.1 Investor Splits'!$F$14="Yes"),'3. Rent &amp; Expenses'!$I$25*AO$16),
IF('3.1 Investor Splits'!$J22="GP",AO$33-SUM(AO47:AO65)+IF('3.1 Investor Splits'!$F$14="Yes",'3. Rent &amp; Expenses'!$I$25*AO$16,0),IF(AO$32&lt;='3.1 Investor Splits'!$F$17,'3.1 Investor Splits'!$M22*12,0))))</f>
        <v/>
      </c>
      <c r="AP46" s="140" t="str">
        <f>IF($V46="","",IF('3.1 Investor Splits'!$F$8="Yes",
'3.1 Investor Splits'!$L22*AP$33+IF(AND($V46="GP",'3.1 Investor Splits'!$F$14="Yes"),'3. Rent &amp; Expenses'!$I$25*AP$16),
IF('3.1 Investor Splits'!$J22="GP",AP$33-SUM(AP47:AP65)+IF('3.1 Investor Splits'!$F$14="Yes",'3. Rent &amp; Expenses'!$I$25*AP$16,0),IF(AP$32&lt;='3.1 Investor Splits'!$F$17,'3.1 Investor Splits'!$M22*12,0))))</f>
        <v/>
      </c>
      <c r="AQ46" s="140" t="str">
        <f>IF($V46="","",IF('3.1 Investor Splits'!$F$8="Yes",
'3.1 Investor Splits'!$L22*AQ$33+IF(AND($V46="GP",'3.1 Investor Splits'!$F$14="Yes"),'3. Rent &amp; Expenses'!$I$25*AQ$16),
IF('3.1 Investor Splits'!$J22="GP",AQ$33-SUM(AQ47:AQ65)+IF('3.1 Investor Splits'!$F$14="Yes",'3. Rent &amp; Expenses'!$I$25*AQ$16,0),IF(AQ$32&lt;='3.1 Investor Splits'!$F$17,'3.1 Investor Splits'!$M22*12,0))))</f>
        <v/>
      </c>
      <c r="AR46" s="140" t="str">
        <f>IF($V46="","",IF('3.1 Investor Splits'!$F$8="Yes",
'3.1 Investor Splits'!$L22*AR$33+IF(AND($V46="GP",'3.1 Investor Splits'!$F$14="Yes"),'3. Rent &amp; Expenses'!$I$25*AR$16),
IF('3.1 Investor Splits'!$J22="GP",AR$33-SUM(AR47:AR65)+IF('3.1 Investor Splits'!$F$14="Yes",'3. Rent &amp; Expenses'!$I$25*AR$16,0),IF(AR$32&lt;='3.1 Investor Splits'!$F$17,'3.1 Investor Splits'!$M22*12,0))))</f>
        <v/>
      </c>
      <c r="AS46" s="140" t="str">
        <f>IF($V46="","",IF('3.1 Investor Splits'!$F$8="Yes",
'3.1 Investor Splits'!$L22*AS$33+IF(AND($V46="GP",'3.1 Investor Splits'!$F$14="Yes"),'3. Rent &amp; Expenses'!$I$25*AS$16),
IF('3.1 Investor Splits'!$J22="GP",AS$33-SUM(AS47:AS65)+IF('3.1 Investor Splits'!$F$14="Yes",'3. Rent &amp; Expenses'!$I$25*AS$16,0),IF(AS$32&lt;='3.1 Investor Splits'!$F$17,'3.1 Investor Splits'!$M22*12,0))))</f>
        <v/>
      </c>
      <c r="AT46" s="140" t="str">
        <f>IF($V46="","",IF('3.1 Investor Splits'!$F$8="Yes",
'3.1 Investor Splits'!$L22*AT$33+IF(AND($V46="GP",'3.1 Investor Splits'!$F$14="Yes"),'3. Rent &amp; Expenses'!$I$25*AT$16),
IF('3.1 Investor Splits'!$J22="GP",AT$33-SUM(AT47:AT65)+IF('3.1 Investor Splits'!$F$14="Yes",'3. Rent &amp; Expenses'!$I$25*AT$16,0),IF(AT$32&lt;='3.1 Investor Splits'!$F$17,'3.1 Investor Splits'!$M22*12,0))))</f>
        <v/>
      </c>
      <c r="AU46" s="140" t="str">
        <f>IF($V46="","",IF('3.1 Investor Splits'!$F$8="Yes",
'3.1 Investor Splits'!$L22*AU$33+IF(AND($V46="GP",'3.1 Investor Splits'!$F$14="Yes"),'3. Rent &amp; Expenses'!$I$25*AU$16),
IF('3.1 Investor Splits'!$J22="GP",AU$33-SUM(AU47:AU65)+IF('3.1 Investor Splits'!$F$14="Yes",'3. Rent &amp; Expenses'!$I$25*AU$16,0),IF(AU$32&lt;='3.1 Investor Splits'!$F$17,'3.1 Investor Splits'!$M22*12,0))))</f>
        <v/>
      </c>
      <c r="AV46" s="140" t="str">
        <f>IF($V46="","",IF('3.1 Investor Splits'!$F$8="Yes",
'3.1 Investor Splits'!$L22*AV$33+IF(AND($V46="GP",'3.1 Investor Splits'!$F$14="Yes"),'3. Rent &amp; Expenses'!$I$25*AV$16),
IF('3.1 Investor Splits'!$J22="GP",AV$33-SUM(AV47:AV65)+IF('3.1 Investor Splits'!$F$14="Yes",'3. Rent &amp; Expenses'!$I$25*AV$16,0),IF(AV$32&lt;='3.1 Investor Splits'!$F$17,'3.1 Investor Splits'!$M22*12,0))))</f>
        <v/>
      </c>
      <c r="AW46" s="140" t="str">
        <f>IF($V46="","",IF('3.1 Investor Splits'!$F$8="Yes",
'3.1 Investor Splits'!$L22*AW$33+IF(AND($V46="GP",'3.1 Investor Splits'!$F$14="Yes"),'3. Rent &amp; Expenses'!$I$25*AW$16),
IF('3.1 Investor Splits'!$J22="GP",AW$33-SUM(AW47:AW65)+IF('3.1 Investor Splits'!$F$14="Yes",'3. Rent &amp; Expenses'!$I$25*AW$16,0),IF(AW$32&lt;='3.1 Investor Splits'!$F$17,'3.1 Investor Splits'!$M22*12,0))))</f>
        <v/>
      </c>
      <c r="AX46" s="140" t="str">
        <f>IF($V46="","",IF('3.1 Investor Splits'!$F$8="Yes",
'3.1 Investor Splits'!$L22*AX$33+IF(AND($V46="GP",'3.1 Investor Splits'!$F$14="Yes"),'3. Rent &amp; Expenses'!$I$25*AX$16),
IF('3.1 Investor Splits'!$J22="GP",AX$33-SUM(AX47:AX65)+IF('3.1 Investor Splits'!$F$14="Yes",'3. Rent &amp; Expenses'!$I$25*AX$16,0),IF(AX$32&lt;='3.1 Investor Splits'!$F$17,'3.1 Investor Splits'!$M22*12,0))))</f>
        <v/>
      </c>
      <c r="AY46" s="140" t="str">
        <f>IF($V46="","",IF('3.1 Investor Splits'!$F$8="Yes",
'3.1 Investor Splits'!$L22*AY$33+IF(AND($V46="GP",'3.1 Investor Splits'!$F$14="Yes"),'3. Rent &amp; Expenses'!$I$25*AY$16),
IF('3.1 Investor Splits'!$J22="GP",AY$33-SUM(AY47:AY65)+IF('3.1 Investor Splits'!$F$14="Yes",'3. Rent &amp; Expenses'!$I$25*AY$16,0),IF(AY$32&lt;='3.1 Investor Splits'!$F$17,'3.1 Investor Splits'!$M22*12,0))))</f>
        <v/>
      </c>
      <c r="AZ46" s="140" t="str">
        <f>IF($V46="","",IF('3.1 Investor Splits'!$F$8="Yes",
'3.1 Investor Splits'!$L22*AZ$33+IF(AND($V46="GP",'3.1 Investor Splits'!$F$14="Yes"),'3. Rent &amp; Expenses'!$I$25*AZ$16),
IF('3.1 Investor Splits'!$J22="GP",AZ$33-SUM(AZ47:AZ65)+IF('3.1 Investor Splits'!$F$14="Yes",'3. Rent &amp; Expenses'!$I$25*AZ$16,0),IF(AZ$32&lt;='3.1 Investor Splits'!$F$17,'3.1 Investor Splits'!$M22*12,0))))</f>
        <v/>
      </c>
    </row>
    <row r="47" spans="2:52" ht="16" thickBot="1" x14ac:dyDescent="0.25">
      <c r="B47" s="35" t="s">
        <v>123</v>
      </c>
      <c r="C47" s="36">
        <f>SUM(INDEX('Debt Payment (Monthly)'!$B$12:$K$371,('Pro Forma'!C43-1)*12+1,4):INDEX('Debt Payment (Monthly)'!$B$12:$K$371,('Pro Forma'!C43-1)*12+12,4))</f>
        <v>0</v>
      </c>
      <c r="D47" s="36">
        <f>SUM(INDEX('Debt Payment (Monthly)'!$B$12:$K$371,('Pro Forma'!D43-1)*12+1,4):INDEX('Debt Payment (Monthly)'!$B$12:$K$371,('Pro Forma'!D43-1)*12+12,4))</f>
        <v>0</v>
      </c>
      <c r="E47" s="36">
        <f>SUM(INDEX('Debt Payment (Monthly)'!$B$12:$K$371,('Pro Forma'!E43-1)*12+1,4):INDEX('Debt Payment (Monthly)'!$B$12:$K$371,('Pro Forma'!E43-1)*12+12,4))</f>
        <v>0</v>
      </c>
      <c r="F47" s="36">
        <f>SUM(INDEX('Debt Payment (Monthly)'!$B$12:$K$371,('Pro Forma'!F43-1)*12+1,4):INDEX('Debt Payment (Monthly)'!$B$12:$K$371,('Pro Forma'!F43-1)*12+12,4))</f>
        <v>0</v>
      </c>
      <c r="G47" s="36">
        <f>SUM(INDEX('Debt Payment (Monthly)'!$B$12:$K$371,('Pro Forma'!G43-1)*12+1,4):INDEX('Debt Payment (Monthly)'!$B$12:$K$371,('Pro Forma'!G43-1)*12+12,4))</f>
        <v>0</v>
      </c>
      <c r="H47" s="36">
        <f>SUM(INDEX('Debt Payment (Monthly)'!$B$12:$K$371,('Pro Forma'!H43-1)*12+1,4):INDEX('Debt Payment (Monthly)'!$B$12:$K$371,('Pro Forma'!H43-1)*12+12,4))</f>
        <v>0</v>
      </c>
      <c r="I47" s="36">
        <f>SUM(INDEX('Debt Payment (Monthly)'!$B$12:$K$371,('Pro Forma'!I43-1)*12+1,4):INDEX('Debt Payment (Monthly)'!$B$12:$K$371,('Pro Forma'!I43-1)*12+12,4))</f>
        <v>0</v>
      </c>
      <c r="J47" s="36">
        <f>SUM(INDEX('Debt Payment (Monthly)'!$B$12:$K$371,('Pro Forma'!J43-1)*12+1,4):INDEX('Debt Payment (Monthly)'!$B$12:$K$371,('Pro Forma'!J43-1)*12+12,4))</f>
        <v>0</v>
      </c>
      <c r="K47" s="36">
        <f>SUM(INDEX('Debt Payment (Monthly)'!$B$12:$K$371,('Pro Forma'!K43-1)*12+1,4):INDEX('Debt Payment (Monthly)'!$B$12:$K$371,('Pro Forma'!K43-1)*12+12,4))</f>
        <v>0</v>
      </c>
      <c r="L47" s="40">
        <f>SUM(INDEX('Debt Payment (Monthly)'!$B$12:$K$371,('Pro Forma'!L43-1)*12+1,4):INDEX('Debt Payment (Monthly)'!$B$12:$K$371,('Pro Forma'!L43-1)*12+12,4))</f>
        <v>0</v>
      </c>
      <c r="V47" s="5" t="str">
        <f>'3.1 Investor Splits'!I23</f>
        <v/>
      </c>
      <c r="W47" s="140" t="str">
        <f>IF($V47="","",IF('3.1 Investor Splits'!$F$8="Yes",
'3.1 Investor Splits'!$L23*W$33+IF(AND($V47="GP",'3.1 Investor Splits'!$F$14="Yes"),'3. Rent &amp; Expenses'!$I$25*W$16),
IF('3.1 Investor Splits'!$J23="GP",W$33-SUM(W48:W66)+IF('3.1 Investor Splits'!$F$14="Yes",'3. Rent &amp; Expenses'!$I$25*W$16,0),IF(W$32&lt;='3.1 Investor Splits'!$F$17,'3.1 Investor Splits'!$M23*12,0))))</f>
        <v/>
      </c>
      <c r="X47" s="140" t="str">
        <f>IF($V47="","",IF('3.1 Investor Splits'!$F$8="Yes",
'3.1 Investor Splits'!$L23*X$33+IF(AND($V47="GP",'3.1 Investor Splits'!$F$14="Yes"),'3. Rent &amp; Expenses'!$I$25*X$16),
IF('3.1 Investor Splits'!$J23="GP",X$33-SUM(X48:X66)+IF('3.1 Investor Splits'!$F$14="Yes",'3. Rent &amp; Expenses'!$I$25*X$16,0),IF(X$32&lt;='3.1 Investor Splits'!$F$17,'3.1 Investor Splits'!$M23*12,0))))</f>
        <v/>
      </c>
      <c r="Y47" s="140" t="str">
        <f>IF($V47="","",IF('3.1 Investor Splits'!$F$8="Yes",
'3.1 Investor Splits'!$L23*Y$33+IF(AND($V47="GP",'3.1 Investor Splits'!$F$14="Yes"),'3. Rent &amp; Expenses'!$I$25*Y$16),
IF('3.1 Investor Splits'!$J23="GP",Y$33-SUM(Y48:Y66)+IF('3.1 Investor Splits'!$F$14="Yes",'3. Rent &amp; Expenses'!$I$25*Y$16,0),IF(Y$32&lt;='3.1 Investor Splits'!$F$17,'3.1 Investor Splits'!$M23*12,0))))</f>
        <v/>
      </c>
      <c r="Z47" s="140" t="str">
        <f>IF($V47="","",IF('3.1 Investor Splits'!$F$8="Yes",
'3.1 Investor Splits'!$L23*Z$33+IF(AND($V47="GP",'3.1 Investor Splits'!$F$14="Yes"),'3. Rent &amp; Expenses'!$I$25*Z$16),
IF('3.1 Investor Splits'!$J23="GP",Z$33-SUM(Z48:Z66)+IF('3.1 Investor Splits'!$F$14="Yes",'3. Rent &amp; Expenses'!$I$25*Z$16,0),IF(Z$32&lt;='3.1 Investor Splits'!$F$17,'3.1 Investor Splits'!$M23*12,0))))</f>
        <v/>
      </c>
      <c r="AA47" s="140" t="str">
        <f>IF($V47="","",IF('3.1 Investor Splits'!$F$8="Yes",
'3.1 Investor Splits'!$L23*AA$33+IF(AND($V47="GP",'3.1 Investor Splits'!$F$14="Yes"),'3. Rent &amp; Expenses'!$I$25*AA$16),
IF('3.1 Investor Splits'!$J23="GP",AA$33-SUM(AA48:AA66)+IF('3.1 Investor Splits'!$F$14="Yes",'3. Rent &amp; Expenses'!$I$25*AA$16,0),IF(AA$32&lt;='3.1 Investor Splits'!$F$17,'3.1 Investor Splits'!$M23*12,0))))</f>
        <v/>
      </c>
      <c r="AB47" s="140" t="str">
        <f>IF($V47="","",IF('3.1 Investor Splits'!$F$8="Yes",
'3.1 Investor Splits'!$L23*AB$33+IF(AND($V47="GP",'3.1 Investor Splits'!$F$14="Yes"),'3. Rent &amp; Expenses'!$I$25*AB$16),
IF('3.1 Investor Splits'!$J23="GP",AB$33-SUM(AB48:AB66)+IF('3.1 Investor Splits'!$F$14="Yes",'3. Rent &amp; Expenses'!$I$25*AB$16,0),IF(AB$32&lt;='3.1 Investor Splits'!$F$17,'3.1 Investor Splits'!$M23*12,0))))</f>
        <v/>
      </c>
      <c r="AC47" s="140" t="str">
        <f>IF($V47="","",IF('3.1 Investor Splits'!$F$8="Yes",
'3.1 Investor Splits'!$L23*AC$33+IF(AND($V47="GP",'3.1 Investor Splits'!$F$14="Yes"),'3. Rent &amp; Expenses'!$I$25*AC$16),
IF('3.1 Investor Splits'!$J23="GP",AC$33-SUM(AC48:AC66)+IF('3.1 Investor Splits'!$F$14="Yes",'3. Rent &amp; Expenses'!$I$25*AC$16,0),IF(AC$32&lt;='3.1 Investor Splits'!$F$17,'3.1 Investor Splits'!$M23*12,0))))</f>
        <v/>
      </c>
      <c r="AD47" s="140" t="str">
        <f>IF($V47="","",IF('3.1 Investor Splits'!$F$8="Yes",
'3.1 Investor Splits'!$L23*AD$33+IF(AND($V47="GP",'3.1 Investor Splits'!$F$14="Yes"),'3. Rent &amp; Expenses'!$I$25*AD$16),
IF('3.1 Investor Splits'!$J23="GP",AD$33-SUM(AD48:AD66)+IF('3.1 Investor Splits'!$F$14="Yes",'3. Rent &amp; Expenses'!$I$25*AD$16,0),IF(AD$32&lt;='3.1 Investor Splits'!$F$17,'3.1 Investor Splits'!$M23*12,0))))</f>
        <v/>
      </c>
      <c r="AE47" s="140" t="str">
        <f>IF($V47="","",IF('3.1 Investor Splits'!$F$8="Yes",
'3.1 Investor Splits'!$L23*AE$33+IF(AND($V47="GP",'3.1 Investor Splits'!$F$14="Yes"),'3. Rent &amp; Expenses'!$I$25*AE$16),
IF('3.1 Investor Splits'!$J23="GP",AE$33-SUM(AE48:AE66)+IF('3.1 Investor Splits'!$F$14="Yes",'3. Rent &amp; Expenses'!$I$25*AE$16,0),IF(AE$32&lt;='3.1 Investor Splits'!$F$17,'3.1 Investor Splits'!$M23*12,0))))</f>
        <v/>
      </c>
      <c r="AF47" s="140" t="str">
        <f>IF($V47="","",IF('3.1 Investor Splits'!$F$8="Yes",
'3.1 Investor Splits'!$L23*AF$33+IF(AND($V47="GP",'3.1 Investor Splits'!$F$14="Yes"),'3. Rent &amp; Expenses'!$I$25*AF$16),
IF('3.1 Investor Splits'!$J23="GP",AF$33-SUM(AF48:AF66)+IF('3.1 Investor Splits'!$F$14="Yes",'3. Rent &amp; Expenses'!$I$25*AF$16,0),IF(AF$32&lt;='3.1 Investor Splits'!$F$17,'3.1 Investor Splits'!$M23*12,0))))</f>
        <v/>
      </c>
      <c r="AG47" s="140" t="str">
        <f>IF($V47="","",IF('3.1 Investor Splits'!$F$8="Yes",
'3.1 Investor Splits'!$L23*AG$33+IF(AND($V47="GP",'3.1 Investor Splits'!$F$14="Yes"),'3. Rent &amp; Expenses'!$I$25*AG$16),
IF('3.1 Investor Splits'!$J23="GP",AG$33-SUM(AG48:AG66)+IF('3.1 Investor Splits'!$F$14="Yes",'3. Rent &amp; Expenses'!$I$25*AG$16,0),IF(AG$32&lt;='3.1 Investor Splits'!$F$17,'3.1 Investor Splits'!$M23*12,0))))</f>
        <v/>
      </c>
      <c r="AH47" s="140" t="str">
        <f>IF($V47="","",IF('3.1 Investor Splits'!$F$8="Yes",
'3.1 Investor Splits'!$L23*AH$33+IF(AND($V47="GP",'3.1 Investor Splits'!$F$14="Yes"),'3. Rent &amp; Expenses'!$I$25*AH$16),
IF('3.1 Investor Splits'!$J23="GP",AH$33-SUM(AH48:AH66)+IF('3.1 Investor Splits'!$F$14="Yes",'3. Rent &amp; Expenses'!$I$25*AH$16,0),IF(AH$32&lt;='3.1 Investor Splits'!$F$17,'3.1 Investor Splits'!$M23*12,0))))</f>
        <v/>
      </c>
      <c r="AI47" s="140" t="str">
        <f>IF($V47="","",IF('3.1 Investor Splits'!$F$8="Yes",
'3.1 Investor Splits'!$L23*AI$33+IF(AND($V47="GP",'3.1 Investor Splits'!$F$14="Yes"),'3. Rent &amp; Expenses'!$I$25*AI$16),
IF('3.1 Investor Splits'!$J23="GP",AI$33-SUM(AI48:AI66)+IF('3.1 Investor Splits'!$F$14="Yes",'3. Rent &amp; Expenses'!$I$25*AI$16,0),IF(AI$32&lt;='3.1 Investor Splits'!$F$17,'3.1 Investor Splits'!$M23*12,0))))</f>
        <v/>
      </c>
      <c r="AJ47" s="140" t="str">
        <f>IF($V47="","",IF('3.1 Investor Splits'!$F$8="Yes",
'3.1 Investor Splits'!$L23*AJ$33+IF(AND($V47="GP",'3.1 Investor Splits'!$F$14="Yes"),'3. Rent &amp; Expenses'!$I$25*AJ$16),
IF('3.1 Investor Splits'!$J23="GP",AJ$33-SUM(AJ48:AJ66)+IF('3.1 Investor Splits'!$F$14="Yes",'3. Rent &amp; Expenses'!$I$25*AJ$16,0),IF(AJ$32&lt;='3.1 Investor Splits'!$F$17,'3.1 Investor Splits'!$M23*12,0))))</f>
        <v/>
      </c>
      <c r="AK47" s="140" t="str">
        <f>IF($V47="","",IF('3.1 Investor Splits'!$F$8="Yes",
'3.1 Investor Splits'!$L23*AK$33+IF(AND($V47="GP",'3.1 Investor Splits'!$F$14="Yes"),'3. Rent &amp; Expenses'!$I$25*AK$16),
IF('3.1 Investor Splits'!$J23="GP",AK$33-SUM(AK48:AK66)+IF('3.1 Investor Splits'!$F$14="Yes",'3. Rent &amp; Expenses'!$I$25*AK$16,0),IF(AK$32&lt;='3.1 Investor Splits'!$F$17,'3.1 Investor Splits'!$M23*12,0))))</f>
        <v/>
      </c>
      <c r="AL47" s="140" t="str">
        <f>IF($V47="","",IF('3.1 Investor Splits'!$F$8="Yes",
'3.1 Investor Splits'!$L23*AL$33+IF(AND($V47="GP",'3.1 Investor Splits'!$F$14="Yes"),'3. Rent &amp; Expenses'!$I$25*AL$16),
IF('3.1 Investor Splits'!$J23="GP",AL$33-SUM(AL48:AL66)+IF('3.1 Investor Splits'!$F$14="Yes",'3. Rent &amp; Expenses'!$I$25*AL$16,0),IF(AL$32&lt;='3.1 Investor Splits'!$F$17,'3.1 Investor Splits'!$M23*12,0))))</f>
        <v/>
      </c>
      <c r="AM47" s="140" t="str">
        <f>IF($V47="","",IF('3.1 Investor Splits'!$F$8="Yes",
'3.1 Investor Splits'!$L23*AM$33+IF(AND($V47="GP",'3.1 Investor Splits'!$F$14="Yes"),'3. Rent &amp; Expenses'!$I$25*AM$16),
IF('3.1 Investor Splits'!$J23="GP",AM$33-SUM(AM48:AM66)+IF('3.1 Investor Splits'!$F$14="Yes",'3. Rent &amp; Expenses'!$I$25*AM$16,0),IF(AM$32&lt;='3.1 Investor Splits'!$F$17,'3.1 Investor Splits'!$M23*12,0))))</f>
        <v/>
      </c>
      <c r="AN47" s="140" t="str">
        <f>IF($V47="","",IF('3.1 Investor Splits'!$F$8="Yes",
'3.1 Investor Splits'!$L23*AN$33+IF(AND($V47="GP",'3.1 Investor Splits'!$F$14="Yes"),'3. Rent &amp; Expenses'!$I$25*AN$16),
IF('3.1 Investor Splits'!$J23="GP",AN$33-SUM(AN48:AN66)+IF('3.1 Investor Splits'!$F$14="Yes",'3. Rent &amp; Expenses'!$I$25*AN$16,0),IF(AN$32&lt;='3.1 Investor Splits'!$F$17,'3.1 Investor Splits'!$M23*12,0))))</f>
        <v/>
      </c>
      <c r="AO47" s="140" t="str">
        <f>IF($V47="","",IF('3.1 Investor Splits'!$F$8="Yes",
'3.1 Investor Splits'!$L23*AO$33+IF(AND($V47="GP",'3.1 Investor Splits'!$F$14="Yes"),'3. Rent &amp; Expenses'!$I$25*AO$16),
IF('3.1 Investor Splits'!$J23="GP",AO$33-SUM(AO48:AO66)+IF('3.1 Investor Splits'!$F$14="Yes",'3. Rent &amp; Expenses'!$I$25*AO$16,0),IF(AO$32&lt;='3.1 Investor Splits'!$F$17,'3.1 Investor Splits'!$M23*12,0))))</f>
        <v/>
      </c>
      <c r="AP47" s="140" t="str">
        <f>IF($V47="","",IF('3.1 Investor Splits'!$F$8="Yes",
'3.1 Investor Splits'!$L23*AP$33+IF(AND($V47="GP",'3.1 Investor Splits'!$F$14="Yes"),'3. Rent &amp; Expenses'!$I$25*AP$16),
IF('3.1 Investor Splits'!$J23="GP",AP$33-SUM(AP48:AP66)+IF('3.1 Investor Splits'!$F$14="Yes",'3. Rent &amp; Expenses'!$I$25*AP$16,0),IF(AP$32&lt;='3.1 Investor Splits'!$F$17,'3.1 Investor Splits'!$M23*12,0))))</f>
        <v/>
      </c>
      <c r="AQ47" s="140" t="str">
        <f>IF($V47="","",IF('3.1 Investor Splits'!$F$8="Yes",
'3.1 Investor Splits'!$L23*AQ$33+IF(AND($V47="GP",'3.1 Investor Splits'!$F$14="Yes"),'3. Rent &amp; Expenses'!$I$25*AQ$16),
IF('3.1 Investor Splits'!$J23="GP",AQ$33-SUM(AQ48:AQ66)+IF('3.1 Investor Splits'!$F$14="Yes",'3. Rent &amp; Expenses'!$I$25*AQ$16,0),IF(AQ$32&lt;='3.1 Investor Splits'!$F$17,'3.1 Investor Splits'!$M23*12,0))))</f>
        <v/>
      </c>
      <c r="AR47" s="140" t="str">
        <f>IF($V47="","",IF('3.1 Investor Splits'!$F$8="Yes",
'3.1 Investor Splits'!$L23*AR$33+IF(AND($V47="GP",'3.1 Investor Splits'!$F$14="Yes"),'3. Rent &amp; Expenses'!$I$25*AR$16),
IF('3.1 Investor Splits'!$J23="GP",AR$33-SUM(AR48:AR66)+IF('3.1 Investor Splits'!$F$14="Yes",'3. Rent &amp; Expenses'!$I$25*AR$16,0),IF(AR$32&lt;='3.1 Investor Splits'!$F$17,'3.1 Investor Splits'!$M23*12,0))))</f>
        <v/>
      </c>
      <c r="AS47" s="140" t="str">
        <f>IF($V47="","",IF('3.1 Investor Splits'!$F$8="Yes",
'3.1 Investor Splits'!$L23*AS$33+IF(AND($V47="GP",'3.1 Investor Splits'!$F$14="Yes"),'3. Rent &amp; Expenses'!$I$25*AS$16),
IF('3.1 Investor Splits'!$J23="GP",AS$33-SUM(AS48:AS66)+IF('3.1 Investor Splits'!$F$14="Yes",'3. Rent &amp; Expenses'!$I$25*AS$16,0),IF(AS$32&lt;='3.1 Investor Splits'!$F$17,'3.1 Investor Splits'!$M23*12,0))))</f>
        <v/>
      </c>
      <c r="AT47" s="140" t="str">
        <f>IF($V47="","",IF('3.1 Investor Splits'!$F$8="Yes",
'3.1 Investor Splits'!$L23*AT$33+IF(AND($V47="GP",'3.1 Investor Splits'!$F$14="Yes"),'3. Rent &amp; Expenses'!$I$25*AT$16),
IF('3.1 Investor Splits'!$J23="GP",AT$33-SUM(AT48:AT66)+IF('3.1 Investor Splits'!$F$14="Yes",'3. Rent &amp; Expenses'!$I$25*AT$16,0),IF(AT$32&lt;='3.1 Investor Splits'!$F$17,'3.1 Investor Splits'!$M23*12,0))))</f>
        <v/>
      </c>
      <c r="AU47" s="140" t="str">
        <f>IF($V47="","",IF('3.1 Investor Splits'!$F$8="Yes",
'3.1 Investor Splits'!$L23*AU$33+IF(AND($V47="GP",'3.1 Investor Splits'!$F$14="Yes"),'3. Rent &amp; Expenses'!$I$25*AU$16),
IF('3.1 Investor Splits'!$J23="GP",AU$33-SUM(AU48:AU66)+IF('3.1 Investor Splits'!$F$14="Yes",'3. Rent &amp; Expenses'!$I$25*AU$16,0),IF(AU$32&lt;='3.1 Investor Splits'!$F$17,'3.1 Investor Splits'!$M23*12,0))))</f>
        <v/>
      </c>
      <c r="AV47" s="140" t="str">
        <f>IF($V47="","",IF('3.1 Investor Splits'!$F$8="Yes",
'3.1 Investor Splits'!$L23*AV$33+IF(AND($V47="GP",'3.1 Investor Splits'!$F$14="Yes"),'3. Rent &amp; Expenses'!$I$25*AV$16),
IF('3.1 Investor Splits'!$J23="GP",AV$33-SUM(AV48:AV66)+IF('3.1 Investor Splits'!$F$14="Yes",'3. Rent &amp; Expenses'!$I$25*AV$16,0),IF(AV$32&lt;='3.1 Investor Splits'!$F$17,'3.1 Investor Splits'!$M23*12,0))))</f>
        <v/>
      </c>
      <c r="AW47" s="140" t="str">
        <f>IF($V47="","",IF('3.1 Investor Splits'!$F$8="Yes",
'3.1 Investor Splits'!$L23*AW$33+IF(AND($V47="GP",'3.1 Investor Splits'!$F$14="Yes"),'3. Rent &amp; Expenses'!$I$25*AW$16),
IF('3.1 Investor Splits'!$J23="GP",AW$33-SUM(AW48:AW66)+IF('3.1 Investor Splits'!$F$14="Yes",'3. Rent &amp; Expenses'!$I$25*AW$16,0),IF(AW$32&lt;='3.1 Investor Splits'!$F$17,'3.1 Investor Splits'!$M23*12,0))))</f>
        <v/>
      </c>
      <c r="AX47" s="140" t="str">
        <f>IF($V47="","",IF('3.1 Investor Splits'!$F$8="Yes",
'3.1 Investor Splits'!$L23*AX$33+IF(AND($V47="GP",'3.1 Investor Splits'!$F$14="Yes"),'3. Rent &amp; Expenses'!$I$25*AX$16),
IF('3.1 Investor Splits'!$J23="GP",AX$33-SUM(AX48:AX66)+IF('3.1 Investor Splits'!$F$14="Yes",'3. Rent &amp; Expenses'!$I$25*AX$16,0),IF(AX$32&lt;='3.1 Investor Splits'!$F$17,'3.1 Investor Splits'!$M23*12,0))))</f>
        <v/>
      </c>
      <c r="AY47" s="140" t="str">
        <f>IF($V47="","",IF('3.1 Investor Splits'!$F$8="Yes",
'3.1 Investor Splits'!$L23*AY$33+IF(AND($V47="GP",'3.1 Investor Splits'!$F$14="Yes"),'3. Rent &amp; Expenses'!$I$25*AY$16),
IF('3.1 Investor Splits'!$J23="GP",AY$33-SUM(AY48:AY66)+IF('3.1 Investor Splits'!$F$14="Yes",'3. Rent &amp; Expenses'!$I$25*AY$16,0),IF(AY$32&lt;='3.1 Investor Splits'!$F$17,'3.1 Investor Splits'!$M23*12,0))))</f>
        <v/>
      </c>
      <c r="AZ47" s="140" t="str">
        <f>IF($V47="","",IF('3.1 Investor Splits'!$F$8="Yes",
'3.1 Investor Splits'!$L23*AZ$33+IF(AND($V47="GP",'3.1 Investor Splits'!$F$14="Yes"),'3. Rent &amp; Expenses'!$I$25*AZ$16),
IF('3.1 Investor Splits'!$J23="GP",AZ$33-SUM(AZ48:AZ66)+IF('3.1 Investor Splits'!$F$14="Yes",'3. Rent &amp; Expenses'!$I$25*AZ$16,0),IF(AZ$32&lt;='3.1 Investor Splits'!$F$17,'3.1 Investor Splits'!$M23*12,0))))</f>
        <v/>
      </c>
    </row>
    <row r="48" spans="2:52" ht="16" thickTop="1" x14ac:dyDescent="0.2">
      <c r="B48" s="15" t="s">
        <v>124</v>
      </c>
      <c r="C48" s="17">
        <f t="shared" ref="C48:L48" si="31">C44-C45</f>
        <v>8888.9373227425167</v>
      </c>
      <c r="D48" s="17">
        <f t="shared" si="31"/>
        <v>9066.716069197364</v>
      </c>
      <c r="E48" s="17">
        <f t="shared" si="31"/>
        <v>9248.050390581313</v>
      </c>
      <c r="F48" s="17">
        <f t="shared" si="31"/>
        <v>9433.0113983929386</v>
      </c>
      <c r="G48" s="17">
        <f t="shared" si="31"/>
        <v>9621.6716263607959</v>
      </c>
      <c r="H48" s="17">
        <f t="shared" si="31"/>
        <v>9814.1050588880098</v>
      </c>
      <c r="I48" s="17">
        <f t="shared" si="31"/>
        <v>10010.387160065773</v>
      </c>
      <c r="J48" s="17">
        <f t="shared" si="31"/>
        <v>10210.594903267087</v>
      </c>
      <c r="K48" s="17">
        <f t="shared" si="31"/>
        <v>10414.806801332432</v>
      </c>
      <c r="L48" s="18">
        <f t="shared" si="31"/>
        <v>10623.102937359079</v>
      </c>
      <c r="V48" s="5" t="str">
        <f>'3.1 Investor Splits'!I24</f>
        <v/>
      </c>
      <c r="W48" s="140" t="str">
        <f>IF($V48="","",IF('3.1 Investor Splits'!$F$8="Yes",
'3.1 Investor Splits'!$L24*W$33+IF(AND($V48="GP",'3.1 Investor Splits'!$F$14="Yes"),'3. Rent &amp; Expenses'!$I$25*W$16),
IF('3.1 Investor Splits'!$J24="GP",W$33-SUM(W49:W67)+IF('3.1 Investor Splits'!$F$14="Yes",'3. Rent &amp; Expenses'!$I$25*W$16,0),IF(W$32&lt;='3.1 Investor Splits'!$F$17,'3.1 Investor Splits'!$M24*12,0))))</f>
        <v/>
      </c>
      <c r="X48" s="140" t="str">
        <f>IF($V48="","",IF('3.1 Investor Splits'!$F$8="Yes",
'3.1 Investor Splits'!$L24*X$33+IF(AND($V48="GP",'3.1 Investor Splits'!$F$14="Yes"),'3. Rent &amp; Expenses'!$I$25*X$16),
IF('3.1 Investor Splits'!$J24="GP",X$33-SUM(X49:X67)+IF('3.1 Investor Splits'!$F$14="Yes",'3. Rent &amp; Expenses'!$I$25*X$16,0),IF(X$32&lt;='3.1 Investor Splits'!$F$17,'3.1 Investor Splits'!$M24*12,0))))</f>
        <v/>
      </c>
      <c r="Y48" s="140" t="str">
        <f>IF($V48="","",IF('3.1 Investor Splits'!$F$8="Yes",
'3.1 Investor Splits'!$L24*Y$33+IF(AND($V48="GP",'3.1 Investor Splits'!$F$14="Yes"),'3. Rent &amp; Expenses'!$I$25*Y$16),
IF('3.1 Investor Splits'!$J24="GP",Y$33-SUM(Y49:Y67)+IF('3.1 Investor Splits'!$F$14="Yes",'3. Rent &amp; Expenses'!$I$25*Y$16,0),IF(Y$32&lt;='3.1 Investor Splits'!$F$17,'3.1 Investor Splits'!$M24*12,0))))</f>
        <v/>
      </c>
      <c r="Z48" s="140" t="str">
        <f>IF($V48="","",IF('3.1 Investor Splits'!$F$8="Yes",
'3.1 Investor Splits'!$L24*Z$33+IF(AND($V48="GP",'3.1 Investor Splits'!$F$14="Yes"),'3. Rent &amp; Expenses'!$I$25*Z$16),
IF('3.1 Investor Splits'!$J24="GP",Z$33-SUM(Z49:Z67)+IF('3.1 Investor Splits'!$F$14="Yes",'3. Rent &amp; Expenses'!$I$25*Z$16,0),IF(Z$32&lt;='3.1 Investor Splits'!$F$17,'3.1 Investor Splits'!$M24*12,0))))</f>
        <v/>
      </c>
      <c r="AA48" s="140" t="str">
        <f>IF($V48="","",IF('3.1 Investor Splits'!$F$8="Yes",
'3.1 Investor Splits'!$L24*AA$33+IF(AND($V48="GP",'3.1 Investor Splits'!$F$14="Yes"),'3. Rent &amp; Expenses'!$I$25*AA$16),
IF('3.1 Investor Splits'!$J24="GP",AA$33-SUM(AA49:AA67)+IF('3.1 Investor Splits'!$F$14="Yes",'3. Rent &amp; Expenses'!$I$25*AA$16,0),IF(AA$32&lt;='3.1 Investor Splits'!$F$17,'3.1 Investor Splits'!$M24*12,0))))</f>
        <v/>
      </c>
      <c r="AB48" s="140" t="str">
        <f>IF($V48="","",IF('3.1 Investor Splits'!$F$8="Yes",
'3.1 Investor Splits'!$L24*AB$33+IF(AND($V48="GP",'3.1 Investor Splits'!$F$14="Yes"),'3. Rent &amp; Expenses'!$I$25*AB$16),
IF('3.1 Investor Splits'!$J24="GP",AB$33-SUM(AB49:AB67)+IF('3.1 Investor Splits'!$F$14="Yes",'3. Rent &amp; Expenses'!$I$25*AB$16,0),IF(AB$32&lt;='3.1 Investor Splits'!$F$17,'3.1 Investor Splits'!$M24*12,0))))</f>
        <v/>
      </c>
      <c r="AC48" s="140" t="str">
        <f>IF($V48="","",IF('3.1 Investor Splits'!$F$8="Yes",
'3.1 Investor Splits'!$L24*AC$33+IF(AND($V48="GP",'3.1 Investor Splits'!$F$14="Yes"),'3. Rent &amp; Expenses'!$I$25*AC$16),
IF('3.1 Investor Splits'!$J24="GP",AC$33-SUM(AC49:AC67)+IF('3.1 Investor Splits'!$F$14="Yes",'3. Rent &amp; Expenses'!$I$25*AC$16,0),IF(AC$32&lt;='3.1 Investor Splits'!$F$17,'3.1 Investor Splits'!$M24*12,0))))</f>
        <v/>
      </c>
      <c r="AD48" s="140" t="str">
        <f>IF($V48="","",IF('3.1 Investor Splits'!$F$8="Yes",
'3.1 Investor Splits'!$L24*AD$33+IF(AND($V48="GP",'3.1 Investor Splits'!$F$14="Yes"),'3. Rent &amp; Expenses'!$I$25*AD$16),
IF('3.1 Investor Splits'!$J24="GP",AD$33-SUM(AD49:AD67)+IF('3.1 Investor Splits'!$F$14="Yes",'3. Rent &amp; Expenses'!$I$25*AD$16,0),IF(AD$32&lt;='3.1 Investor Splits'!$F$17,'3.1 Investor Splits'!$M24*12,0))))</f>
        <v/>
      </c>
      <c r="AE48" s="140" t="str">
        <f>IF($V48="","",IF('3.1 Investor Splits'!$F$8="Yes",
'3.1 Investor Splits'!$L24*AE$33+IF(AND($V48="GP",'3.1 Investor Splits'!$F$14="Yes"),'3. Rent &amp; Expenses'!$I$25*AE$16),
IF('3.1 Investor Splits'!$J24="GP",AE$33-SUM(AE49:AE67)+IF('3.1 Investor Splits'!$F$14="Yes",'3. Rent &amp; Expenses'!$I$25*AE$16,0),IF(AE$32&lt;='3.1 Investor Splits'!$F$17,'3.1 Investor Splits'!$M24*12,0))))</f>
        <v/>
      </c>
      <c r="AF48" s="140" t="str">
        <f>IF($V48="","",IF('3.1 Investor Splits'!$F$8="Yes",
'3.1 Investor Splits'!$L24*AF$33+IF(AND($V48="GP",'3.1 Investor Splits'!$F$14="Yes"),'3. Rent &amp; Expenses'!$I$25*AF$16),
IF('3.1 Investor Splits'!$J24="GP",AF$33-SUM(AF49:AF67)+IF('3.1 Investor Splits'!$F$14="Yes",'3. Rent &amp; Expenses'!$I$25*AF$16,0),IF(AF$32&lt;='3.1 Investor Splits'!$F$17,'3.1 Investor Splits'!$M24*12,0))))</f>
        <v/>
      </c>
      <c r="AG48" s="140" t="str">
        <f>IF($V48="","",IF('3.1 Investor Splits'!$F$8="Yes",
'3.1 Investor Splits'!$L24*AG$33+IF(AND($V48="GP",'3.1 Investor Splits'!$F$14="Yes"),'3. Rent &amp; Expenses'!$I$25*AG$16),
IF('3.1 Investor Splits'!$J24="GP",AG$33-SUM(AG49:AG67)+IF('3.1 Investor Splits'!$F$14="Yes",'3. Rent &amp; Expenses'!$I$25*AG$16,0),IF(AG$32&lt;='3.1 Investor Splits'!$F$17,'3.1 Investor Splits'!$M24*12,0))))</f>
        <v/>
      </c>
      <c r="AH48" s="140" t="str">
        <f>IF($V48="","",IF('3.1 Investor Splits'!$F$8="Yes",
'3.1 Investor Splits'!$L24*AH$33+IF(AND($V48="GP",'3.1 Investor Splits'!$F$14="Yes"),'3. Rent &amp; Expenses'!$I$25*AH$16),
IF('3.1 Investor Splits'!$J24="GP",AH$33-SUM(AH49:AH67)+IF('3.1 Investor Splits'!$F$14="Yes",'3. Rent &amp; Expenses'!$I$25*AH$16,0),IF(AH$32&lt;='3.1 Investor Splits'!$F$17,'3.1 Investor Splits'!$M24*12,0))))</f>
        <v/>
      </c>
      <c r="AI48" s="140" t="str">
        <f>IF($V48="","",IF('3.1 Investor Splits'!$F$8="Yes",
'3.1 Investor Splits'!$L24*AI$33+IF(AND($V48="GP",'3.1 Investor Splits'!$F$14="Yes"),'3. Rent &amp; Expenses'!$I$25*AI$16),
IF('3.1 Investor Splits'!$J24="GP",AI$33-SUM(AI49:AI67)+IF('3.1 Investor Splits'!$F$14="Yes",'3. Rent &amp; Expenses'!$I$25*AI$16,0),IF(AI$32&lt;='3.1 Investor Splits'!$F$17,'3.1 Investor Splits'!$M24*12,0))))</f>
        <v/>
      </c>
      <c r="AJ48" s="140" t="str">
        <f>IF($V48="","",IF('3.1 Investor Splits'!$F$8="Yes",
'3.1 Investor Splits'!$L24*AJ$33+IF(AND($V48="GP",'3.1 Investor Splits'!$F$14="Yes"),'3. Rent &amp; Expenses'!$I$25*AJ$16),
IF('3.1 Investor Splits'!$J24="GP",AJ$33-SUM(AJ49:AJ67)+IF('3.1 Investor Splits'!$F$14="Yes",'3. Rent &amp; Expenses'!$I$25*AJ$16,0),IF(AJ$32&lt;='3.1 Investor Splits'!$F$17,'3.1 Investor Splits'!$M24*12,0))))</f>
        <v/>
      </c>
      <c r="AK48" s="140" t="str">
        <f>IF($V48="","",IF('3.1 Investor Splits'!$F$8="Yes",
'3.1 Investor Splits'!$L24*AK$33+IF(AND($V48="GP",'3.1 Investor Splits'!$F$14="Yes"),'3. Rent &amp; Expenses'!$I$25*AK$16),
IF('3.1 Investor Splits'!$J24="GP",AK$33-SUM(AK49:AK67)+IF('3.1 Investor Splits'!$F$14="Yes",'3. Rent &amp; Expenses'!$I$25*AK$16,0),IF(AK$32&lt;='3.1 Investor Splits'!$F$17,'3.1 Investor Splits'!$M24*12,0))))</f>
        <v/>
      </c>
      <c r="AL48" s="140" t="str">
        <f>IF($V48="","",IF('3.1 Investor Splits'!$F$8="Yes",
'3.1 Investor Splits'!$L24*AL$33+IF(AND($V48="GP",'3.1 Investor Splits'!$F$14="Yes"),'3. Rent &amp; Expenses'!$I$25*AL$16),
IF('3.1 Investor Splits'!$J24="GP",AL$33-SUM(AL49:AL67)+IF('3.1 Investor Splits'!$F$14="Yes",'3. Rent &amp; Expenses'!$I$25*AL$16,0),IF(AL$32&lt;='3.1 Investor Splits'!$F$17,'3.1 Investor Splits'!$M24*12,0))))</f>
        <v/>
      </c>
      <c r="AM48" s="140" t="str">
        <f>IF($V48="","",IF('3.1 Investor Splits'!$F$8="Yes",
'3.1 Investor Splits'!$L24*AM$33+IF(AND($V48="GP",'3.1 Investor Splits'!$F$14="Yes"),'3. Rent &amp; Expenses'!$I$25*AM$16),
IF('3.1 Investor Splits'!$J24="GP",AM$33-SUM(AM49:AM67)+IF('3.1 Investor Splits'!$F$14="Yes",'3. Rent &amp; Expenses'!$I$25*AM$16,0),IF(AM$32&lt;='3.1 Investor Splits'!$F$17,'3.1 Investor Splits'!$M24*12,0))))</f>
        <v/>
      </c>
      <c r="AN48" s="140" t="str">
        <f>IF($V48="","",IF('3.1 Investor Splits'!$F$8="Yes",
'3.1 Investor Splits'!$L24*AN$33+IF(AND($V48="GP",'3.1 Investor Splits'!$F$14="Yes"),'3. Rent &amp; Expenses'!$I$25*AN$16),
IF('3.1 Investor Splits'!$J24="GP",AN$33-SUM(AN49:AN67)+IF('3.1 Investor Splits'!$F$14="Yes",'3. Rent &amp; Expenses'!$I$25*AN$16,0),IF(AN$32&lt;='3.1 Investor Splits'!$F$17,'3.1 Investor Splits'!$M24*12,0))))</f>
        <v/>
      </c>
      <c r="AO48" s="140" t="str">
        <f>IF($V48="","",IF('3.1 Investor Splits'!$F$8="Yes",
'3.1 Investor Splits'!$L24*AO$33+IF(AND($V48="GP",'3.1 Investor Splits'!$F$14="Yes"),'3. Rent &amp; Expenses'!$I$25*AO$16),
IF('3.1 Investor Splits'!$J24="GP",AO$33-SUM(AO49:AO67)+IF('3.1 Investor Splits'!$F$14="Yes",'3. Rent &amp; Expenses'!$I$25*AO$16,0),IF(AO$32&lt;='3.1 Investor Splits'!$F$17,'3.1 Investor Splits'!$M24*12,0))))</f>
        <v/>
      </c>
      <c r="AP48" s="140" t="str">
        <f>IF($V48="","",IF('3.1 Investor Splits'!$F$8="Yes",
'3.1 Investor Splits'!$L24*AP$33+IF(AND($V48="GP",'3.1 Investor Splits'!$F$14="Yes"),'3. Rent &amp; Expenses'!$I$25*AP$16),
IF('3.1 Investor Splits'!$J24="GP",AP$33-SUM(AP49:AP67)+IF('3.1 Investor Splits'!$F$14="Yes",'3. Rent &amp; Expenses'!$I$25*AP$16,0),IF(AP$32&lt;='3.1 Investor Splits'!$F$17,'3.1 Investor Splits'!$M24*12,0))))</f>
        <v/>
      </c>
      <c r="AQ48" s="140" t="str">
        <f>IF($V48="","",IF('3.1 Investor Splits'!$F$8="Yes",
'3.1 Investor Splits'!$L24*AQ$33+IF(AND($V48="GP",'3.1 Investor Splits'!$F$14="Yes"),'3. Rent &amp; Expenses'!$I$25*AQ$16),
IF('3.1 Investor Splits'!$J24="GP",AQ$33-SUM(AQ49:AQ67)+IF('3.1 Investor Splits'!$F$14="Yes",'3. Rent &amp; Expenses'!$I$25*AQ$16,0),IF(AQ$32&lt;='3.1 Investor Splits'!$F$17,'3.1 Investor Splits'!$M24*12,0))))</f>
        <v/>
      </c>
      <c r="AR48" s="140" t="str">
        <f>IF($V48="","",IF('3.1 Investor Splits'!$F$8="Yes",
'3.1 Investor Splits'!$L24*AR$33+IF(AND($V48="GP",'3.1 Investor Splits'!$F$14="Yes"),'3. Rent &amp; Expenses'!$I$25*AR$16),
IF('3.1 Investor Splits'!$J24="GP",AR$33-SUM(AR49:AR67)+IF('3.1 Investor Splits'!$F$14="Yes",'3. Rent &amp; Expenses'!$I$25*AR$16,0),IF(AR$32&lt;='3.1 Investor Splits'!$F$17,'3.1 Investor Splits'!$M24*12,0))))</f>
        <v/>
      </c>
      <c r="AS48" s="140" t="str">
        <f>IF($V48="","",IF('3.1 Investor Splits'!$F$8="Yes",
'3.1 Investor Splits'!$L24*AS$33+IF(AND($V48="GP",'3.1 Investor Splits'!$F$14="Yes"),'3. Rent &amp; Expenses'!$I$25*AS$16),
IF('3.1 Investor Splits'!$J24="GP",AS$33-SUM(AS49:AS67)+IF('3.1 Investor Splits'!$F$14="Yes",'3. Rent &amp; Expenses'!$I$25*AS$16,0),IF(AS$32&lt;='3.1 Investor Splits'!$F$17,'3.1 Investor Splits'!$M24*12,0))))</f>
        <v/>
      </c>
      <c r="AT48" s="140" t="str">
        <f>IF($V48="","",IF('3.1 Investor Splits'!$F$8="Yes",
'3.1 Investor Splits'!$L24*AT$33+IF(AND($V48="GP",'3.1 Investor Splits'!$F$14="Yes"),'3. Rent &amp; Expenses'!$I$25*AT$16),
IF('3.1 Investor Splits'!$J24="GP",AT$33-SUM(AT49:AT67)+IF('3.1 Investor Splits'!$F$14="Yes",'3. Rent &amp; Expenses'!$I$25*AT$16,0),IF(AT$32&lt;='3.1 Investor Splits'!$F$17,'3.1 Investor Splits'!$M24*12,0))))</f>
        <v/>
      </c>
      <c r="AU48" s="140" t="str">
        <f>IF($V48="","",IF('3.1 Investor Splits'!$F$8="Yes",
'3.1 Investor Splits'!$L24*AU$33+IF(AND($V48="GP",'3.1 Investor Splits'!$F$14="Yes"),'3. Rent &amp; Expenses'!$I$25*AU$16),
IF('3.1 Investor Splits'!$J24="GP",AU$33-SUM(AU49:AU67)+IF('3.1 Investor Splits'!$F$14="Yes",'3. Rent &amp; Expenses'!$I$25*AU$16,0),IF(AU$32&lt;='3.1 Investor Splits'!$F$17,'3.1 Investor Splits'!$M24*12,0))))</f>
        <v/>
      </c>
      <c r="AV48" s="140" t="str">
        <f>IF($V48="","",IF('3.1 Investor Splits'!$F$8="Yes",
'3.1 Investor Splits'!$L24*AV$33+IF(AND($V48="GP",'3.1 Investor Splits'!$F$14="Yes"),'3. Rent &amp; Expenses'!$I$25*AV$16),
IF('3.1 Investor Splits'!$J24="GP",AV$33-SUM(AV49:AV67)+IF('3.1 Investor Splits'!$F$14="Yes",'3. Rent &amp; Expenses'!$I$25*AV$16,0),IF(AV$32&lt;='3.1 Investor Splits'!$F$17,'3.1 Investor Splits'!$M24*12,0))))</f>
        <v/>
      </c>
      <c r="AW48" s="140" t="str">
        <f>IF($V48="","",IF('3.1 Investor Splits'!$F$8="Yes",
'3.1 Investor Splits'!$L24*AW$33+IF(AND($V48="GP",'3.1 Investor Splits'!$F$14="Yes"),'3. Rent &amp; Expenses'!$I$25*AW$16),
IF('3.1 Investor Splits'!$J24="GP",AW$33-SUM(AW49:AW67)+IF('3.1 Investor Splits'!$F$14="Yes",'3. Rent &amp; Expenses'!$I$25*AW$16,0),IF(AW$32&lt;='3.1 Investor Splits'!$F$17,'3.1 Investor Splits'!$M24*12,0))))</f>
        <v/>
      </c>
      <c r="AX48" s="140" t="str">
        <f>IF($V48="","",IF('3.1 Investor Splits'!$F$8="Yes",
'3.1 Investor Splits'!$L24*AX$33+IF(AND($V48="GP",'3.1 Investor Splits'!$F$14="Yes"),'3. Rent &amp; Expenses'!$I$25*AX$16),
IF('3.1 Investor Splits'!$J24="GP",AX$33-SUM(AX49:AX67)+IF('3.1 Investor Splits'!$F$14="Yes",'3. Rent &amp; Expenses'!$I$25*AX$16,0),IF(AX$32&lt;='3.1 Investor Splits'!$F$17,'3.1 Investor Splits'!$M24*12,0))))</f>
        <v/>
      </c>
      <c r="AY48" s="140" t="str">
        <f>IF($V48="","",IF('3.1 Investor Splits'!$F$8="Yes",
'3.1 Investor Splits'!$L24*AY$33+IF(AND($V48="GP",'3.1 Investor Splits'!$F$14="Yes"),'3. Rent &amp; Expenses'!$I$25*AY$16),
IF('3.1 Investor Splits'!$J24="GP",AY$33-SUM(AY49:AY67)+IF('3.1 Investor Splits'!$F$14="Yes",'3. Rent &amp; Expenses'!$I$25*AY$16,0),IF(AY$32&lt;='3.1 Investor Splits'!$F$17,'3.1 Investor Splits'!$M24*12,0))))</f>
        <v/>
      </c>
      <c r="AZ48" s="140" t="str">
        <f>IF($V48="","",IF('3.1 Investor Splits'!$F$8="Yes",
'3.1 Investor Splits'!$L24*AZ$33+IF(AND($V48="GP",'3.1 Investor Splits'!$F$14="Yes"),'3. Rent &amp; Expenses'!$I$25*AZ$16),
IF('3.1 Investor Splits'!$J24="GP",AZ$33-SUM(AZ49:AZ67)+IF('3.1 Investor Splits'!$F$14="Yes",'3. Rent &amp; Expenses'!$I$25*AZ$16,0),IF(AZ$32&lt;='3.1 Investor Splits'!$F$17,'3.1 Investor Splits'!$M24*12,0))))</f>
        <v/>
      </c>
    </row>
    <row r="49" spans="2:52" x14ac:dyDescent="0.2">
      <c r="B49" s="15" t="s">
        <v>125</v>
      </c>
      <c r="C49" s="37">
        <f>C48/'4. Report'!$D$80</f>
        <v>0.10158785511705733</v>
      </c>
      <c r="D49" s="37">
        <f>D48/'4. Report'!$D$80</f>
        <v>0.10361961221939844</v>
      </c>
      <c r="E49" s="37">
        <f>E48/'4. Report'!$D$80</f>
        <v>0.10569200446378643</v>
      </c>
      <c r="F49" s="37">
        <f>F48/'4. Report'!$D$80</f>
        <v>0.10780584455306215</v>
      </c>
      <c r="G49" s="37">
        <f>G48/'4. Report'!$D$80</f>
        <v>0.10996196144412339</v>
      </c>
      <c r="H49" s="37">
        <f>H48/'4. Report'!$D$80</f>
        <v>0.11216120067300582</v>
      </c>
      <c r="I49" s="37">
        <f>I48/'4. Report'!$D$80</f>
        <v>0.11440442468646597</v>
      </c>
      <c r="J49" s="37">
        <f>J48/'4. Report'!$D$80</f>
        <v>0.11669251318019527</v>
      </c>
      <c r="K49" s="37">
        <f>K48/'4. Report'!$D$80</f>
        <v>0.11902636344379922</v>
      </c>
      <c r="L49" s="42">
        <f>L48/'4. Report'!$D$80</f>
        <v>0.12140689071267519</v>
      </c>
      <c r="V49" s="5" t="str">
        <f>'3.1 Investor Splits'!I25</f>
        <v/>
      </c>
      <c r="W49" s="140" t="str">
        <f>IF($V49="","",IF('3.1 Investor Splits'!$F$8="Yes",
'3.1 Investor Splits'!$L25*W$33+IF(AND($V49="GP",'3.1 Investor Splits'!$F$14="Yes"),'3. Rent &amp; Expenses'!$I$25*W$16),
IF('3.1 Investor Splits'!$J25="GP",W$33-SUM(W50:W68)+IF('3.1 Investor Splits'!$F$14="Yes",'3. Rent &amp; Expenses'!$I$25*W$16,0),IF(W$32&lt;='3.1 Investor Splits'!$F$17,'3.1 Investor Splits'!$M25*12,0))))</f>
        <v/>
      </c>
      <c r="X49" s="140" t="str">
        <f>IF($V49="","",IF('3.1 Investor Splits'!$F$8="Yes",
'3.1 Investor Splits'!$L25*X$33+IF(AND($V49="GP",'3.1 Investor Splits'!$F$14="Yes"),'3. Rent &amp; Expenses'!$I$25*X$16),
IF('3.1 Investor Splits'!$J25="GP",X$33-SUM(X50:X68)+IF('3.1 Investor Splits'!$F$14="Yes",'3. Rent &amp; Expenses'!$I$25*X$16,0),IF(X$32&lt;='3.1 Investor Splits'!$F$17,'3.1 Investor Splits'!$M25*12,0))))</f>
        <v/>
      </c>
      <c r="Y49" s="140" t="str">
        <f>IF($V49="","",IF('3.1 Investor Splits'!$F$8="Yes",
'3.1 Investor Splits'!$L25*Y$33+IF(AND($V49="GP",'3.1 Investor Splits'!$F$14="Yes"),'3. Rent &amp; Expenses'!$I$25*Y$16),
IF('3.1 Investor Splits'!$J25="GP",Y$33-SUM(Y50:Y68)+IF('3.1 Investor Splits'!$F$14="Yes",'3. Rent &amp; Expenses'!$I$25*Y$16,0),IF(Y$32&lt;='3.1 Investor Splits'!$F$17,'3.1 Investor Splits'!$M25*12,0))))</f>
        <v/>
      </c>
      <c r="Z49" s="140" t="str">
        <f>IF($V49="","",IF('3.1 Investor Splits'!$F$8="Yes",
'3.1 Investor Splits'!$L25*Z$33+IF(AND($V49="GP",'3.1 Investor Splits'!$F$14="Yes"),'3. Rent &amp; Expenses'!$I$25*Z$16),
IF('3.1 Investor Splits'!$J25="GP",Z$33-SUM(Z50:Z68)+IF('3.1 Investor Splits'!$F$14="Yes",'3. Rent &amp; Expenses'!$I$25*Z$16,0),IF(Z$32&lt;='3.1 Investor Splits'!$F$17,'3.1 Investor Splits'!$M25*12,0))))</f>
        <v/>
      </c>
      <c r="AA49" s="140" t="str">
        <f>IF($V49="","",IF('3.1 Investor Splits'!$F$8="Yes",
'3.1 Investor Splits'!$L25*AA$33+IF(AND($V49="GP",'3.1 Investor Splits'!$F$14="Yes"),'3. Rent &amp; Expenses'!$I$25*AA$16),
IF('3.1 Investor Splits'!$J25="GP",AA$33-SUM(AA50:AA68)+IF('3.1 Investor Splits'!$F$14="Yes",'3. Rent &amp; Expenses'!$I$25*AA$16,0),IF(AA$32&lt;='3.1 Investor Splits'!$F$17,'3.1 Investor Splits'!$M25*12,0))))</f>
        <v/>
      </c>
      <c r="AB49" s="140" t="str">
        <f>IF($V49="","",IF('3.1 Investor Splits'!$F$8="Yes",
'3.1 Investor Splits'!$L25*AB$33+IF(AND($V49="GP",'3.1 Investor Splits'!$F$14="Yes"),'3. Rent &amp; Expenses'!$I$25*AB$16),
IF('3.1 Investor Splits'!$J25="GP",AB$33-SUM(AB50:AB68)+IF('3.1 Investor Splits'!$F$14="Yes",'3. Rent &amp; Expenses'!$I$25*AB$16,0),IF(AB$32&lt;='3.1 Investor Splits'!$F$17,'3.1 Investor Splits'!$M25*12,0))))</f>
        <v/>
      </c>
      <c r="AC49" s="140" t="str">
        <f>IF($V49="","",IF('3.1 Investor Splits'!$F$8="Yes",
'3.1 Investor Splits'!$L25*AC$33+IF(AND($V49="GP",'3.1 Investor Splits'!$F$14="Yes"),'3. Rent &amp; Expenses'!$I$25*AC$16),
IF('3.1 Investor Splits'!$J25="GP",AC$33-SUM(AC50:AC68)+IF('3.1 Investor Splits'!$F$14="Yes",'3. Rent &amp; Expenses'!$I$25*AC$16,0),IF(AC$32&lt;='3.1 Investor Splits'!$F$17,'3.1 Investor Splits'!$M25*12,0))))</f>
        <v/>
      </c>
      <c r="AD49" s="140" t="str">
        <f>IF($V49="","",IF('3.1 Investor Splits'!$F$8="Yes",
'3.1 Investor Splits'!$L25*AD$33+IF(AND($V49="GP",'3.1 Investor Splits'!$F$14="Yes"),'3. Rent &amp; Expenses'!$I$25*AD$16),
IF('3.1 Investor Splits'!$J25="GP",AD$33-SUM(AD50:AD68)+IF('3.1 Investor Splits'!$F$14="Yes",'3. Rent &amp; Expenses'!$I$25*AD$16,0),IF(AD$32&lt;='3.1 Investor Splits'!$F$17,'3.1 Investor Splits'!$M25*12,0))))</f>
        <v/>
      </c>
      <c r="AE49" s="140" t="str">
        <f>IF($V49="","",IF('3.1 Investor Splits'!$F$8="Yes",
'3.1 Investor Splits'!$L25*AE$33+IF(AND($V49="GP",'3.1 Investor Splits'!$F$14="Yes"),'3. Rent &amp; Expenses'!$I$25*AE$16),
IF('3.1 Investor Splits'!$J25="GP",AE$33-SUM(AE50:AE68)+IF('3.1 Investor Splits'!$F$14="Yes",'3. Rent &amp; Expenses'!$I$25*AE$16,0),IF(AE$32&lt;='3.1 Investor Splits'!$F$17,'3.1 Investor Splits'!$M25*12,0))))</f>
        <v/>
      </c>
      <c r="AF49" s="140" t="str">
        <f>IF($V49="","",IF('3.1 Investor Splits'!$F$8="Yes",
'3.1 Investor Splits'!$L25*AF$33+IF(AND($V49="GP",'3.1 Investor Splits'!$F$14="Yes"),'3. Rent &amp; Expenses'!$I$25*AF$16),
IF('3.1 Investor Splits'!$J25="GP",AF$33-SUM(AF50:AF68)+IF('3.1 Investor Splits'!$F$14="Yes",'3. Rent &amp; Expenses'!$I$25*AF$16,0),IF(AF$32&lt;='3.1 Investor Splits'!$F$17,'3.1 Investor Splits'!$M25*12,0))))</f>
        <v/>
      </c>
      <c r="AG49" s="140" t="str">
        <f>IF($V49="","",IF('3.1 Investor Splits'!$F$8="Yes",
'3.1 Investor Splits'!$L25*AG$33+IF(AND($V49="GP",'3.1 Investor Splits'!$F$14="Yes"),'3. Rent &amp; Expenses'!$I$25*AG$16),
IF('3.1 Investor Splits'!$J25="GP",AG$33-SUM(AG50:AG68)+IF('3.1 Investor Splits'!$F$14="Yes",'3. Rent &amp; Expenses'!$I$25*AG$16,0),IF(AG$32&lt;='3.1 Investor Splits'!$F$17,'3.1 Investor Splits'!$M25*12,0))))</f>
        <v/>
      </c>
      <c r="AH49" s="140" t="str">
        <f>IF($V49="","",IF('3.1 Investor Splits'!$F$8="Yes",
'3.1 Investor Splits'!$L25*AH$33+IF(AND($V49="GP",'3.1 Investor Splits'!$F$14="Yes"),'3. Rent &amp; Expenses'!$I$25*AH$16),
IF('3.1 Investor Splits'!$J25="GP",AH$33-SUM(AH50:AH68)+IF('3.1 Investor Splits'!$F$14="Yes",'3. Rent &amp; Expenses'!$I$25*AH$16,0),IF(AH$32&lt;='3.1 Investor Splits'!$F$17,'3.1 Investor Splits'!$M25*12,0))))</f>
        <v/>
      </c>
      <c r="AI49" s="140" t="str">
        <f>IF($V49="","",IF('3.1 Investor Splits'!$F$8="Yes",
'3.1 Investor Splits'!$L25*AI$33+IF(AND($V49="GP",'3.1 Investor Splits'!$F$14="Yes"),'3. Rent &amp; Expenses'!$I$25*AI$16),
IF('3.1 Investor Splits'!$J25="GP",AI$33-SUM(AI50:AI68)+IF('3.1 Investor Splits'!$F$14="Yes",'3. Rent &amp; Expenses'!$I$25*AI$16,0),IF(AI$32&lt;='3.1 Investor Splits'!$F$17,'3.1 Investor Splits'!$M25*12,0))))</f>
        <v/>
      </c>
      <c r="AJ49" s="140" t="str">
        <f>IF($V49="","",IF('3.1 Investor Splits'!$F$8="Yes",
'3.1 Investor Splits'!$L25*AJ$33+IF(AND($V49="GP",'3.1 Investor Splits'!$F$14="Yes"),'3. Rent &amp; Expenses'!$I$25*AJ$16),
IF('3.1 Investor Splits'!$J25="GP",AJ$33-SUM(AJ50:AJ68)+IF('3.1 Investor Splits'!$F$14="Yes",'3. Rent &amp; Expenses'!$I$25*AJ$16,0),IF(AJ$32&lt;='3.1 Investor Splits'!$F$17,'3.1 Investor Splits'!$M25*12,0))))</f>
        <v/>
      </c>
      <c r="AK49" s="140" t="str">
        <f>IF($V49="","",IF('3.1 Investor Splits'!$F$8="Yes",
'3.1 Investor Splits'!$L25*AK$33+IF(AND($V49="GP",'3.1 Investor Splits'!$F$14="Yes"),'3. Rent &amp; Expenses'!$I$25*AK$16),
IF('3.1 Investor Splits'!$J25="GP",AK$33-SUM(AK50:AK68)+IF('3.1 Investor Splits'!$F$14="Yes",'3. Rent &amp; Expenses'!$I$25*AK$16,0),IF(AK$32&lt;='3.1 Investor Splits'!$F$17,'3.1 Investor Splits'!$M25*12,0))))</f>
        <v/>
      </c>
      <c r="AL49" s="140" t="str">
        <f>IF($V49="","",IF('3.1 Investor Splits'!$F$8="Yes",
'3.1 Investor Splits'!$L25*AL$33+IF(AND($V49="GP",'3.1 Investor Splits'!$F$14="Yes"),'3. Rent &amp; Expenses'!$I$25*AL$16),
IF('3.1 Investor Splits'!$J25="GP",AL$33-SUM(AL50:AL68)+IF('3.1 Investor Splits'!$F$14="Yes",'3. Rent &amp; Expenses'!$I$25*AL$16,0),IF(AL$32&lt;='3.1 Investor Splits'!$F$17,'3.1 Investor Splits'!$M25*12,0))))</f>
        <v/>
      </c>
      <c r="AM49" s="140" t="str">
        <f>IF($V49="","",IF('3.1 Investor Splits'!$F$8="Yes",
'3.1 Investor Splits'!$L25*AM$33+IF(AND($V49="GP",'3.1 Investor Splits'!$F$14="Yes"),'3. Rent &amp; Expenses'!$I$25*AM$16),
IF('3.1 Investor Splits'!$J25="GP",AM$33-SUM(AM50:AM68)+IF('3.1 Investor Splits'!$F$14="Yes",'3. Rent &amp; Expenses'!$I$25*AM$16,0),IF(AM$32&lt;='3.1 Investor Splits'!$F$17,'3.1 Investor Splits'!$M25*12,0))))</f>
        <v/>
      </c>
      <c r="AN49" s="140" t="str">
        <f>IF($V49="","",IF('3.1 Investor Splits'!$F$8="Yes",
'3.1 Investor Splits'!$L25*AN$33+IF(AND($V49="GP",'3.1 Investor Splits'!$F$14="Yes"),'3. Rent &amp; Expenses'!$I$25*AN$16),
IF('3.1 Investor Splits'!$J25="GP",AN$33-SUM(AN50:AN68)+IF('3.1 Investor Splits'!$F$14="Yes",'3. Rent &amp; Expenses'!$I$25*AN$16,0),IF(AN$32&lt;='3.1 Investor Splits'!$F$17,'3.1 Investor Splits'!$M25*12,0))))</f>
        <v/>
      </c>
      <c r="AO49" s="140" t="str">
        <f>IF($V49="","",IF('3.1 Investor Splits'!$F$8="Yes",
'3.1 Investor Splits'!$L25*AO$33+IF(AND($V49="GP",'3.1 Investor Splits'!$F$14="Yes"),'3. Rent &amp; Expenses'!$I$25*AO$16),
IF('3.1 Investor Splits'!$J25="GP",AO$33-SUM(AO50:AO68)+IF('3.1 Investor Splits'!$F$14="Yes",'3. Rent &amp; Expenses'!$I$25*AO$16,0),IF(AO$32&lt;='3.1 Investor Splits'!$F$17,'3.1 Investor Splits'!$M25*12,0))))</f>
        <v/>
      </c>
      <c r="AP49" s="140" t="str">
        <f>IF($V49="","",IF('3.1 Investor Splits'!$F$8="Yes",
'3.1 Investor Splits'!$L25*AP$33+IF(AND($V49="GP",'3.1 Investor Splits'!$F$14="Yes"),'3. Rent &amp; Expenses'!$I$25*AP$16),
IF('3.1 Investor Splits'!$J25="GP",AP$33-SUM(AP50:AP68)+IF('3.1 Investor Splits'!$F$14="Yes",'3. Rent &amp; Expenses'!$I$25*AP$16,0),IF(AP$32&lt;='3.1 Investor Splits'!$F$17,'3.1 Investor Splits'!$M25*12,0))))</f>
        <v/>
      </c>
      <c r="AQ49" s="140" t="str">
        <f>IF($V49="","",IF('3.1 Investor Splits'!$F$8="Yes",
'3.1 Investor Splits'!$L25*AQ$33+IF(AND($V49="GP",'3.1 Investor Splits'!$F$14="Yes"),'3. Rent &amp; Expenses'!$I$25*AQ$16),
IF('3.1 Investor Splits'!$J25="GP",AQ$33-SUM(AQ50:AQ68)+IF('3.1 Investor Splits'!$F$14="Yes",'3. Rent &amp; Expenses'!$I$25*AQ$16,0),IF(AQ$32&lt;='3.1 Investor Splits'!$F$17,'3.1 Investor Splits'!$M25*12,0))))</f>
        <v/>
      </c>
      <c r="AR49" s="140" t="str">
        <f>IF($V49="","",IF('3.1 Investor Splits'!$F$8="Yes",
'3.1 Investor Splits'!$L25*AR$33+IF(AND($V49="GP",'3.1 Investor Splits'!$F$14="Yes"),'3. Rent &amp; Expenses'!$I$25*AR$16),
IF('3.1 Investor Splits'!$J25="GP",AR$33-SUM(AR50:AR68)+IF('3.1 Investor Splits'!$F$14="Yes",'3. Rent &amp; Expenses'!$I$25*AR$16,0),IF(AR$32&lt;='3.1 Investor Splits'!$F$17,'3.1 Investor Splits'!$M25*12,0))))</f>
        <v/>
      </c>
      <c r="AS49" s="140" t="str">
        <f>IF($V49="","",IF('3.1 Investor Splits'!$F$8="Yes",
'3.1 Investor Splits'!$L25*AS$33+IF(AND($V49="GP",'3.1 Investor Splits'!$F$14="Yes"),'3. Rent &amp; Expenses'!$I$25*AS$16),
IF('3.1 Investor Splits'!$J25="GP",AS$33-SUM(AS50:AS68)+IF('3.1 Investor Splits'!$F$14="Yes",'3. Rent &amp; Expenses'!$I$25*AS$16,0),IF(AS$32&lt;='3.1 Investor Splits'!$F$17,'3.1 Investor Splits'!$M25*12,0))))</f>
        <v/>
      </c>
      <c r="AT49" s="140" t="str">
        <f>IF($V49="","",IF('3.1 Investor Splits'!$F$8="Yes",
'3.1 Investor Splits'!$L25*AT$33+IF(AND($V49="GP",'3.1 Investor Splits'!$F$14="Yes"),'3. Rent &amp; Expenses'!$I$25*AT$16),
IF('3.1 Investor Splits'!$J25="GP",AT$33-SUM(AT50:AT68)+IF('3.1 Investor Splits'!$F$14="Yes",'3. Rent &amp; Expenses'!$I$25*AT$16,0),IF(AT$32&lt;='3.1 Investor Splits'!$F$17,'3.1 Investor Splits'!$M25*12,0))))</f>
        <v/>
      </c>
      <c r="AU49" s="140" t="str">
        <f>IF($V49="","",IF('3.1 Investor Splits'!$F$8="Yes",
'3.1 Investor Splits'!$L25*AU$33+IF(AND($V49="GP",'3.1 Investor Splits'!$F$14="Yes"),'3. Rent &amp; Expenses'!$I$25*AU$16),
IF('3.1 Investor Splits'!$J25="GP",AU$33-SUM(AU50:AU68)+IF('3.1 Investor Splits'!$F$14="Yes",'3. Rent &amp; Expenses'!$I$25*AU$16,0),IF(AU$32&lt;='3.1 Investor Splits'!$F$17,'3.1 Investor Splits'!$M25*12,0))))</f>
        <v/>
      </c>
      <c r="AV49" s="140" t="str">
        <f>IF($V49="","",IF('3.1 Investor Splits'!$F$8="Yes",
'3.1 Investor Splits'!$L25*AV$33+IF(AND($V49="GP",'3.1 Investor Splits'!$F$14="Yes"),'3. Rent &amp; Expenses'!$I$25*AV$16),
IF('3.1 Investor Splits'!$J25="GP",AV$33-SUM(AV50:AV68)+IF('3.1 Investor Splits'!$F$14="Yes",'3. Rent &amp; Expenses'!$I$25*AV$16,0),IF(AV$32&lt;='3.1 Investor Splits'!$F$17,'3.1 Investor Splits'!$M25*12,0))))</f>
        <v/>
      </c>
      <c r="AW49" s="140" t="str">
        <f>IF($V49="","",IF('3.1 Investor Splits'!$F$8="Yes",
'3.1 Investor Splits'!$L25*AW$33+IF(AND($V49="GP",'3.1 Investor Splits'!$F$14="Yes"),'3. Rent &amp; Expenses'!$I$25*AW$16),
IF('3.1 Investor Splits'!$J25="GP",AW$33-SUM(AW50:AW68)+IF('3.1 Investor Splits'!$F$14="Yes",'3. Rent &amp; Expenses'!$I$25*AW$16,0),IF(AW$32&lt;='3.1 Investor Splits'!$F$17,'3.1 Investor Splits'!$M25*12,0))))</f>
        <v/>
      </c>
      <c r="AX49" s="140" t="str">
        <f>IF($V49="","",IF('3.1 Investor Splits'!$F$8="Yes",
'3.1 Investor Splits'!$L25*AX$33+IF(AND($V49="GP",'3.1 Investor Splits'!$F$14="Yes"),'3. Rent &amp; Expenses'!$I$25*AX$16),
IF('3.1 Investor Splits'!$J25="GP",AX$33-SUM(AX50:AX68)+IF('3.1 Investor Splits'!$F$14="Yes",'3. Rent &amp; Expenses'!$I$25*AX$16,0),IF(AX$32&lt;='3.1 Investor Splits'!$F$17,'3.1 Investor Splits'!$M25*12,0))))</f>
        <v/>
      </c>
      <c r="AY49" s="140" t="str">
        <f>IF($V49="","",IF('3.1 Investor Splits'!$F$8="Yes",
'3.1 Investor Splits'!$L25*AY$33+IF(AND($V49="GP",'3.1 Investor Splits'!$F$14="Yes"),'3. Rent &amp; Expenses'!$I$25*AY$16),
IF('3.1 Investor Splits'!$J25="GP",AY$33-SUM(AY50:AY68)+IF('3.1 Investor Splits'!$F$14="Yes",'3. Rent &amp; Expenses'!$I$25*AY$16,0),IF(AY$32&lt;='3.1 Investor Splits'!$F$17,'3.1 Investor Splits'!$M25*12,0))))</f>
        <v/>
      </c>
      <c r="AZ49" s="140" t="str">
        <f>IF($V49="","",IF('3.1 Investor Splits'!$F$8="Yes",
'3.1 Investor Splits'!$L25*AZ$33+IF(AND($V49="GP",'3.1 Investor Splits'!$F$14="Yes"),'3. Rent &amp; Expenses'!$I$25*AZ$16),
IF('3.1 Investor Splits'!$J25="GP",AZ$33-SUM(AZ50:AZ68)+IF('3.1 Investor Splits'!$F$14="Yes",'3. Rent &amp; Expenses'!$I$25*AZ$16,0),IF(AZ$32&lt;='3.1 Investor Splits'!$F$17,'3.1 Investor Splits'!$M25*12,0))))</f>
        <v/>
      </c>
    </row>
    <row r="50" spans="2:52" x14ac:dyDescent="0.2">
      <c r="B50" s="15" t="s">
        <v>126</v>
      </c>
      <c r="C50" s="17">
        <f>'4. Report'!$D$58*POWER(1+'4. Report'!$J$100,C$43)</f>
        <v>133378.63826301706</v>
      </c>
      <c r="D50" s="17">
        <f>'4. Report'!$D$58*POWER(1+'4. Report'!$J$100,D$43)</f>
        <v>136046.21102827741</v>
      </c>
      <c r="E50" s="17">
        <f>'4. Report'!$D$58*POWER(1+'4. Report'!$J$100,E$43)</f>
        <v>138767.13524884294</v>
      </c>
      <c r="F50" s="17">
        <f>'4. Report'!$D$58*POWER(1+'4. Report'!$J$100,F$43)</f>
        <v>141542.47795381979</v>
      </c>
      <c r="G50" s="17">
        <f>'4. Report'!$D$58*POWER(1+'4. Report'!$J$100,G$43)</f>
        <v>144373.32751289621</v>
      </c>
      <c r="H50" s="17">
        <f>'4. Report'!$D$58*POWER(1+'4. Report'!$J$100,H$43)</f>
        <v>147260.79406315414</v>
      </c>
      <c r="I50" s="17">
        <f>'4. Report'!$D$58*POWER(1+'4. Report'!$J$100,I$43)</f>
        <v>150206.00994441719</v>
      </c>
      <c r="J50" s="17">
        <f>'4. Report'!$D$58*POWER(1+'4. Report'!$J$100,J$43)</f>
        <v>153210.13014330558</v>
      </c>
      <c r="K50" s="17">
        <f>'4. Report'!$D$58*POWER(1+'4. Report'!$J$100,K$43)</f>
        <v>156274.33274617165</v>
      </c>
      <c r="L50" s="18">
        <f>'4. Report'!$D$58*POWER(1+'4. Report'!$J$100,L$43)</f>
        <v>159399.8194010951</v>
      </c>
      <c r="V50" s="5" t="str">
        <f>'3.1 Investor Splits'!I26</f>
        <v/>
      </c>
      <c r="W50" s="140" t="str">
        <f>IF($V50="","",IF('3.1 Investor Splits'!$F$8="Yes",
'3.1 Investor Splits'!$L26*W$33+IF(AND($V50="GP",'3.1 Investor Splits'!$F$14="Yes"),'3. Rent &amp; Expenses'!$I$25*W$16),
IF('3.1 Investor Splits'!$J26="GP",W$33-SUM(W51:W69)+IF('3.1 Investor Splits'!$F$14="Yes",'3. Rent &amp; Expenses'!$I$25*W$16,0),IF(W$32&lt;='3.1 Investor Splits'!$F$17,'3.1 Investor Splits'!$M26*12,0))))</f>
        <v/>
      </c>
      <c r="X50" s="140" t="str">
        <f>IF($V50="","",IF('3.1 Investor Splits'!$F$8="Yes",
'3.1 Investor Splits'!$L26*X$33+IF(AND($V50="GP",'3.1 Investor Splits'!$F$14="Yes"),'3. Rent &amp; Expenses'!$I$25*X$16),
IF('3.1 Investor Splits'!$J26="GP",X$33-SUM(X51:X69)+IF('3.1 Investor Splits'!$F$14="Yes",'3. Rent &amp; Expenses'!$I$25*X$16,0),IF(X$32&lt;='3.1 Investor Splits'!$F$17,'3.1 Investor Splits'!$M26*12,0))))</f>
        <v/>
      </c>
      <c r="Y50" s="140" t="str">
        <f>IF($V50="","",IF('3.1 Investor Splits'!$F$8="Yes",
'3.1 Investor Splits'!$L26*Y$33+IF(AND($V50="GP",'3.1 Investor Splits'!$F$14="Yes"),'3. Rent &amp; Expenses'!$I$25*Y$16),
IF('3.1 Investor Splits'!$J26="GP",Y$33-SUM(Y51:Y69)+IF('3.1 Investor Splits'!$F$14="Yes",'3. Rent &amp; Expenses'!$I$25*Y$16,0),IF(Y$32&lt;='3.1 Investor Splits'!$F$17,'3.1 Investor Splits'!$M26*12,0))))</f>
        <v/>
      </c>
      <c r="Z50" s="140" t="str">
        <f>IF($V50="","",IF('3.1 Investor Splits'!$F$8="Yes",
'3.1 Investor Splits'!$L26*Z$33+IF(AND($V50="GP",'3.1 Investor Splits'!$F$14="Yes"),'3. Rent &amp; Expenses'!$I$25*Z$16),
IF('3.1 Investor Splits'!$J26="GP",Z$33-SUM(Z51:Z69)+IF('3.1 Investor Splits'!$F$14="Yes",'3. Rent &amp; Expenses'!$I$25*Z$16,0),IF(Z$32&lt;='3.1 Investor Splits'!$F$17,'3.1 Investor Splits'!$M26*12,0))))</f>
        <v/>
      </c>
      <c r="AA50" s="140" t="str">
        <f>IF($V50="","",IF('3.1 Investor Splits'!$F$8="Yes",
'3.1 Investor Splits'!$L26*AA$33+IF(AND($V50="GP",'3.1 Investor Splits'!$F$14="Yes"),'3. Rent &amp; Expenses'!$I$25*AA$16),
IF('3.1 Investor Splits'!$J26="GP",AA$33-SUM(AA51:AA69)+IF('3.1 Investor Splits'!$F$14="Yes",'3. Rent &amp; Expenses'!$I$25*AA$16,0),IF(AA$32&lt;='3.1 Investor Splits'!$F$17,'3.1 Investor Splits'!$M26*12,0))))</f>
        <v/>
      </c>
      <c r="AB50" s="140" t="str">
        <f>IF($V50="","",IF('3.1 Investor Splits'!$F$8="Yes",
'3.1 Investor Splits'!$L26*AB$33+IF(AND($V50="GP",'3.1 Investor Splits'!$F$14="Yes"),'3. Rent &amp; Expenses'!$I$25*AB$16),
IF('3.1 Investor Splits'!$J26="GP",AB$33-SUM(AB51:AB69)+IF('3.1 Investor Splits'!$F$14="Yes",'3. Rent &amp; Expenses'!$I$25*AB$16,0),IF(AB$32&lt;='3.1 Investor Splits'!$F$17,'3.1 Investor Splits'!$M26*12,0))))</f>
        <v/>
      </c>
      <c r="AC50" s="140" t="str">
        <f>IF($V50="","",IF('3.1 Investor Splits'!$F$8="Yes",
'3.1 Investor Splits'!$L26*AC$33+IF(AND($V50="GP",'3.1 Investor Splits'!$F$14="Yes"),'3. Rent &amp; Expenses'!$I$25*AC$16),
IF('3.1 Investor Splits'!$J26="GP",AC$33-SUM(AC51:AC69)+IF('3.1 Investor Splits'!$F$14="Yes",'3. Rent &amp; Expenses'!$I$25*AC$16,0),IF(AC$32&lt;='3.1 Investor Splits'!$F$17,'3.1 Investor Splits'!$M26*12,0))))</f>
        <v/>
      </c>
      <c r="AD50" s="140" t="str">
        <f>IF($V50="","",IF('3.1 Investor Splits'!$F$8="Yes",
'3.1 Investor Splits'!$L26*AD$33+IF(AND($V50="GP",'3.1 Investor Splits'!$F$14="Yes"),'3. Rent &amp; Expenses'!$I$25*AD$16),
IF('3.1 Investor Splits'!$J26="GP",AD$33-SUM(AD51:AD69)+IF('3.1 Investor Splits'!$F$14="Yes",'3. Rent &amp; Expenses'!$I$25*AD$16,0),IF(AD$32&lt;='3.1 Investor Splits'!$F$17,'3.1 Investor Splits'!$M26*12,0))))</f>
        <v/>
      </c>
      <c r="AE50" s="140" t="str">
        <f>IF($V50="","",IF('3.1 Investor Splits'!$F$8="Yes",
'3.1 Investor Splits'!$L26*AE$33+IF(AND($V50="GP",'3.1 Investor Splits'!$F$14="Yes"),'3. Rent &amp; Expenses'!$I$25*AE$16),
IF('3.1 Investor Splits'!$J26="GP",AE$33-SUM(AE51:AE69)+IF('3.1 Investor Splits'!$F$14="Yes",'3. Rent &amp; Expenses'!$I$25*AE$16,0),IF(AE$32&lt;='3.1 Investor Splits'!$F$17,'3.1 Investor Splits'!$M26*12,0))))</f>
        <v/>
      </c>
      <c r="AF50" s="140" t="str">
        <f>IF($V50="","",IF('3.1 Investor Splits'!$F$8="Yes",
'3.1 Investor Splits'!$L26*AF$33+IF(AND($V50="GP",'3.1 Investor Splits'!$F$14="Yes"),'3. Rent &amp; Expenses'!$I$25*AF$16),
IF('3.1 Investor Splits'!$J26="GP",AF$33-SUM(AF51:AF69)+IF('3.1 Investor Splits'!$F$14="Yes",'3. Rent &amp; Expenses'!$I$25*AF$16,0),IF(AF$32&lt;='3.1 Investor Splits'!$F$17,'3.1 Investor Splits'!$M26*12,0))))</f>
        <v/>
      </c>
      <c r="AG50" s="140" t="str">
        <f>IF($V50="","",IF('3.1 Investor Splits'!$F$8="Yes",
'3.1 Investor Splits'!$L26*AG$33+IF(AND($V50="GP",'3.1 Investor Splits'!$F$14="Yes"),'3. Rent &amp; Expenses'!$I$25*AG$16),
IF('3.1 Investor Splits'!$J26="GP",AG$33-SUM(AG51:AG69)+IF('3.1 Investor Splits'!$F$14="Yes",'3. Rent &amp; Expenses'!$I$25*AG$16,0),IF(AG$32&lt;='3.1 Investor Splits'!$F$17,'3.1 Investor Splits'!$M26*12,0))))</f>
        <v/>
      </c>
      <c r="AH50" s="140" t="str">
        <f>IF($V50="","",IF('3.1 Investor Splits'!$F$8="Yes",
'3.1 Investor Splits'!$L26*AH$33+IF(AND($V50="GP",'3.1 Investor Splits'!$F$14="Yes"),'3. Rent &amp; Expenses'!$I$25*AH$16),
IF('3.1 Investor Splits'!$J26="GP",AH$33-SUM(AH51:AH69)+IF('3.1 Investor Splits'!$F$14="Yes",'3. Rent &amp; Expenses'!$I$25*AH$16,0),IF(AH$32&lt;='3.1 Investor Splits'!$F$17,'3.1 Investor Splits'!$M26*12,0))))</f>
        <v/>
      </c>
      <c r="AI50" s="140" t="str">
        <f>IF($V50="","",IF('3.1 Investor Splits'!$F$8="Yes",
'3.1 Investor Splits'!$L26*AI$33+IF(AND($V50="GP",'3.1 Investor Splits'!$F$14="Yes"),'3. Rent &amp; Expenses'!$I$25*AI$16),
IF('3.1 Investor Splits'!$J26="GP",AI$33-SUM(AI51:AI69)+IF('3.1 Investor Splits'!$F$14="Yes",'3. Rent &amp; Expenses'!$I$25*AI$16,0),IF(AI$32&lt;='3.1 Investor Splits'!$F$17,'3.1 Investor Splits'!$M26*12,0))))</f>
        <v/>
      </c>
      <c r="AJ50" s="140" t="str">
        <f>IF($V50="","",IF('3.1 Investor Splits'!$F$8="Yes",
'3.1 Investor Splits'!$L26*AJ$33+IF(AND($V50="GP",'3.1 Investor Splits'!$F$14="Yes"),'3. Rent &amp; Expenses'!$I$25*AJ$16),
IF('3.1 Investor Splits'!$J26="GP",AJ$33-SUM(AJ51:AJ69)+IF('3.1 Investor Splits'!$F$14="Yes",'3. Rent &amp; Expenses'!$I$25*AJ$16,0),IF(AJ$32&lt;='3.1 Investor Splits'!$F$17,'3.1 Investor Splits'!$M26*12,0))))</f>
        <v/>
      </c>
      <c r="AK50" s="140" t="str">
        <f>IF($V50="","",IF('3.1 Investor Splits'!$F$8="Yes",
'3.1 Investor Splits'!$L26*AK$33+IF(AND($V50="GP",'3.1 Investor Splits'!$F$14="Yes"),'3. Rent &amp; Expenses'!$I$25*AK$16),
IF('3.1 Investor Splits'!$J26="GP",AK$33-SUM(AK51:AK69)+IF('3.1 Investor Splits'!$F$14="Yes",'3. Rent &amp; Expenses'!$I$25*AK$16,0),IF(AK$32&lt;='3.1 Investor Splits'!$F$17,'3.1 Investor Splits'!$M26*12,0))))</f>
        <v/>
      </c>
      <c r="AL50" s="140" t="str">
        <f>IF($V50="","",IF('3.1 Investor Splits'!$F$8="Yes",
'3.1 Investor Splits'!$L26*AL$33+IF(AND($V50="GP",'3.1 Investor Splits'!$F$14="Yes"),'3. Rent &amp; Expenses'!$I$25*AL$16),
IF('3.1 Investor Splits'!$J26="GP",AL$33-SUM(AL51:AL69)+IF('3.1 Investor Splits'!$F$14="Yes",'3. Rent &amp; Expenses'!$I$25*AL$16,0),IF(AL$32&lt;='3.1 Investor Splits'!$F$17,'3.1 Investor Splits'!$M26*12,0))))</f>
        <v/>
      </c>
      <c r="AM50" s="140" t="str">
        <f>IF($V50="","",IF('3.1 Investor Splits'!$F$8="Yes",
'3.1 Investor Splits'!$L26*AM$33+IF(AND($V50="GP",'3.1 Investor Splits'!$F$14="Yes"),'3. Rent &amp; Expenses'!$I$25*AM$16),
IF('3.1 Investor Splits'!$J26="GP",AM$33-SUM(AM51:AM69)+IF('3.1 Investor Splits'!$F$14="Yes",'3. Rent &amp; Expenses'!$I$25*AM$16,0),IF(AM$32&lt;='3.1 Investor Splits'!$F$17,'3.1 Investor Splits'!$M26*12,0))))</f>
        <v/>
      </c>
      <c r="AN50" s="140" t="str">
        <f>IF($V50="","",IF('3.1 Investor Splits'!$F$8="Yes",
'3.1 Investor Splits'!$L26*AN$33+IF(AND($V50="GP",'3.1 Investor Splits'!$F$14="Yes"),'3. Rent &amp; Expenses'!$I$25*AN$16),
IF('3.1 Investor Splits'!$J26="GP",AN$33-SUM(AN51:AN69)+IF('3.1 Investor Splits'!$F$14="Yes",'3. Rent &amp; Expenses'!$I$25*AN$16,0),IF(AN$32&lt;='3.1 Investor Splits'!$F$17,'3.1 Investor Splits'!$M26*12,0))))</f>
        <v/>
      </c>
      <c r="AO50" s="140" t="str">
        <f>IF($V50="","",IF('3.1 Investor Splits'!$F$8="Yes",
'3.1 Investor Splits'!$L26*AO$33+IF(AND($V50="GP",'3.1 Investor Splits'!$F$14="Yes"),'3. Rent &amp; Expenses'!$I$25*AO$16),
IF('3.1 Investor Splits'!$J26="GP",AO$33-SUM(AO51:AO69)+IF('3.1 Investor Splits'!$F$14="Yes",'3. Rent &amp; Expenses'!$I$25*AO$16,0),IF(AO$32&lt;='3.1 Investor Splits'!$F$17,'3.1 Investor Splits'!$M26*12,0))))</f>
        <v/>
      </c>
      <c r="AP50" s="140" t="str">
        <f>IF($V50="","",IF('3.1 Investor Splits'!$F$8="Yes",
'3.1 Investor Splits'!$L26*AP$33+IF(AND($V50="GP",'3.1 Investor Splits'!$F$14="Yes"),'3. Rent &amp; Expenses'!$I$25*AP$16),
IF('3.1 Investor Splits'!$J26="GP",AP$33-SUM(AP51:AP69)+IF('3.1 Investor Splits'!$F$14="Yes",'3. Rent &amp; Expenses'!$I$25*AP$16,0),IF(AP$32&lt;='3.1 Investor Splits'!$F$17,'3.1 Investor Splits'!$M26*12,0))))</f>
        <v/>
      </c>
      <c r="AQ50" s="140" t="str">
        <f>IF($V50="","",IF('3.1 Investor Splits'!$F$8="Yes",
'3.1 Investor Splits'!$L26*AQ$33+IF(AND($V50="GP",'3.1 Investor Splits'!$F$14="Yes"),'3. Rent &amp; Expenses'!$I$25*AQ$16),
IF('3.1 Investor Splits'!$J26="GP",AQ$33-SUM(AQ51:AQ69)+IF('3.1 Investor Splits'!$F$14="Yes",'3. Rent &amp; Expenses'!$I$25*AQ$16,0),IF(AQ$32&lt;='3.1 Investor Splits'!$F$17,'3.1 Investor Splits'!$M26*12,0))))</f>
        <v/>
      </c>
      <c r="AR50" s="140" t="str">
        <f>IF($V50="","",IF('3.1 Investor Splits'!$F$8="Yes",
'3.1 Investor Splits'!$L26*AR$33+IF(AND($V50="GP",'3.1 Investor Splits'!$F$14="Yes"),'3. Rent &amp; Expenses'!$I$25*AR$16),
IF('3.1 Investor Splits'!$J26="GP",AR$33-SUM(AR51:AR69)+IF('3.1 Investor Splits'!$F$14="Yes",'3. Rent &amp; Expenses'!$I$25*AR$16,0),IF(AR$32&lt;='3.1 Investor Splits'!$F$17,'3.1 Investor Splits'!$M26*12,0))))</f>
        <v/>
      </c>
      <c r="AS50" s="140" t="str">
        <f>IF($V50="","",IF('3.1 Investor Splits'!$F$8="Yes",
'3.1 Investor Splits'!$L26*AS$33+IF(AND($V50="GP",'3.1 Investor Splits'!$F$14="Yes"),'3. Rent &amp; Expenses'!$I$25*AS$16),
IF('3.1 Investor Splits'!$J26="GP",AS$33-SUM(AS51:AS69)+IF('3.1 Investor Splits'!$F$14="Yes",'3. Rent &amp; Expenses'!$I$25*AS$16,0),IF(AS$32&lt;='3.1 Investor Splits'!$F$17,'3.1 Investor Splits'!$M26*12,0))))</f>
        <v/>
      </c>
      <c r="AT50" s="140" t="str">
        <f>IF($V50="","",IF('3.1 Investor Splits'!$F$8="Yes",
'3.1 Investor Splits'!$L26*AT$33+IF(AND($V50="GP",'3.1 Investor Splits'!$F$14="Yes"),'3. Rent &amp; Expenses'!$I$25*AT$16),
IF('3.1 Investor Splits'!$J26="GP",AT$33-SUM(AT51:AT69)+IF('3.1 Investor Splits'!$F$14="Yes",'3. Rent &amp; Expenses'!$I$25*AT$16,0),IF(AT$32&lt;='3.1 Investor Splits'!$F$17,'3.1 Investor Splits'!$M26*12,0))))</f>
        <v/>
      </c>
      <c r="AU50" s="140" t="str">
        <f>IF($V50="","",IF('3.1 Investor Splits'!$F$8="Yes",
'3.1 Investor Splits'!$L26*AU$33+IF(AND($V50="GP",'3.1 Investor Splits'!$F$14="Yes"),'3. Rent &amp; Expenses'!$I$25*AU$16),
IF('3.1 Investor Splits'!$J26="GP",AU$33-SUM(AU51:AU69)+IF('3.1 Investor Splits'!$F$14="Yes",'3. Rent &amp; Expenses'!$I$25*AU$16,0),IF(AU$32&lt;='3.1 Investor Splits'!$F$17,'3.1 Investor Splits'!$M26*12,0))))</f>
        <v/>
      </c>
      <c r="AV50" s="140" t="str">
        <f>IF($V50="","",IF('3.1 Investor Splits'!$F$8="Yes",
'3.1 Investor Splits'!$L26*AV$33+IF(AND($V50="GP",'3.1 Investor Splits'!$F$14="Yes"),'3. Rent &amp; Expenses'!$I$25*AV$16),
IF('3.1 Investor Splits'!$J26="GP",AV$33-SUM(AV51:AV69)+IF('3.1 Investor Splits'!$F$14="Yes",'3. Rent &amp; Expenses'!$I$25*AV$16,0),IF(AV$32&lt;='3.1 Investor Splits'!$F$17,'3.1 Investor Splits'!$M26*12,0))))</f>
        <v/>
      </c>
      <c r="AW50" s="140" t="str">
        <f>IF($V50="","",IF('3.1 Investor Splits'!$F$8="Yes",
'3.1 Investor Splits'!$L26*AW$33+IF(AND($V50="GP",'3.1 Investor Splits'!$F$14="Yes"),'3. Rent &amp; Expenses'!$I$25*AW$16),
IF('3.1 Investor Splits'!$J26="GP",AW$33-SUM(AW51:AW69)+IF('3.1 Investor Splits'!$F$14="Yes",'3. Rent &amp; Expenses'!$I$25*AW$16,0),IF(AW$32&lt;='3.1 Investor Splits'!$F$17,'3.1 Investor Splits'!$M26*12,0))))</f>
        <v/>
      </c>
      <c r="AX50" s="140" t="str">
        <f>IF($V50="","",IF('3.1 Investor Splits'!$F$8="Yes",
'3.1 Investor Splits'!$L26*AX$33+IF(AND($V50="GP",'3.1 Investor Splits'!$F$14="Yes"),'3. Rent &amp; Expenses'!$I$25*AX$16),
IF('3.1 Investor Splits'!$J26="GP",AX$33-SUM(AX51:AX69)+IF('3.1 Investor Splits'!$F$14="Yes",'3. Rent &amp; Expenses'!$I$25*AX$16,0),IF(AX$32&lt;='3.1 Investor Splits'!$F$17,'3.1 Investor Splits'!$M26*12,0))))</f>
        <v/>
      </c>
      <c r="AY50" s="140" t="str">
        <f>IF($V50="","",IF('3.1 Investor Splits'!$F$8="Yes",
'3.1 Investor Splits'!$L26*AY$33+IF(AND($V50="GP",'3.1 Investor Splits'!$F$14="Yes"),'3. Rent &amp; Expenses'!$I$25*AY$16),
IF('3.1 Investor Splits'!$J26="GP",AY$33-SUM(AY51:AY69)+IF('3.1 Investor Splits'!$F$14="Yes",'3. Rent &amp; Expenses'!$I$25*AY$16,0),IF(AY$32&lt;='3.1 Investor Splits'!$F$17,'3.1 Investor Splits'!$M26*12,0))))</f>
        <v/>
      </c>
      <c r="AZ50" s="140" t="str">
        <f>IF($V50="","",IF('3.1 Investor Splits'!$F$8="Yes",
'3.1 Investor Splits'!$L26*AZ$33+IF(AND($V50="GP",'3.1 Investor Splits'!$F$14="Yes"),'3. Rent &amp; Expenses'!$I$25*AZ$16),
IF('3.1 Investor Splits'!$J26="GP",AZ$33-SUM(AZ51:AZ69)+IF('3.1 Investor Splits'!$F$14="Yes",'3. Rent &amp; Expenses'!$I$25*AZ$16,0),IF(AZ$32&lt;='3.1 Investor Splits'!$F$17,'3.1 Investor Splits'!$M26*12,0))))</f>
        <v/>
      </c>
    </row>
    <row r="51" spans="2:52" ht="16" thickBot="1" x14ac:dyDescent="0.25">
      <c r="B51" s="38" t="s">
        <v>128</v>
      </c>
      <c r="C51" s="36">
        <f>IFERROR('4. Report'!$D$61-INDEX('Debt Payment (Yearly)'!$C$12:$K$42,MATCH(C43,'Debt Payment (Yearly)'!$C$12:$C$42,0),7),0)</f>
        <v>0</v>
      </c>
      <c r="D51" s="36">
        <f>IFERROR('4. Report'!$D$61-INDEX('Debt Payment (Yearly)'!$C$12:$K$42,MATCH(D43,'Debt Payment (Yearly)'!$C$12:$C$42,0),7),0)</f>
        <v>0</v>
      </c>
      <c r="E51" s="36">
        <f>IFERROR('4. Report'!$D$61-INDEX('Debt Payment (Yearly)'!$C$12:$K$42,MATCH(E43,'Debt Payment (Yearly)'!$C$12:$C$42,0),7),0)</f>
        <v>0</v>
      </c>
      <c r="F51" s="36">
        <f>IFERROR('4. Report'!$D$61-INDEX('Debt Payment (Yearly)'!$C$12:$K$42,MATCH(F43,'Debt Payment (Yearly)'!$C$12:$C$42,0),7),0)</f>
        <v>0</v>
      </c>
      <c r="G51" s="36">
        <f>IFERROR('4. Report'!$D$61-INDEX('Debt Payment (Yearly)'!$C$12:$K$42,MATCH(G43,'Debt Payment (Yearly)'!$C$12:$C$42,0),7),0)</f>
        <v>0</v>
      </c>
      <c r="H51" s="36">
        <f>IFERROR('4. Report'!$D$61-INDEX('Debt Payment (Yearly)'!$C$12:$K$42,MATCH(H43,'Debt Payment (Yearly)'!$C$12:$C$42,0),7),0)</f>
        <v>0</v>
      </c>
      <c r="I51" s="36">
        <f>IFERROR('4. Report'!$D$61-INDEX('Debt Payment (Yearly)'!$C$12:$K$42,MATCH(I43,'Debt Payment (Yearly)'!$C$12:$C$42,0),7),0)</f>
        <v>0</v>
      </c>
      <c r="J51" s="36">
        <f>IFERROR('4. Report'!$D$61-INDEX('Debt Payment (Yearly)'!$C$12:$K$42,MATCH(J43,'Debt Payment (Yearly)'!$C$12:$C$42,0),7),0)</f>
        <v>0</v>
      </c>
      <c r="K51" s="36">
        <f>IFERROR('4. Report'!$D$61-INDEX('Debt Payment (Yearly)'!$C$12:$K$42,MATCH(K43,'Debt Payment (Yearly)'!$C$12:$C$42,0),7),0)</f>
        <v>0</v>
      </c>
      <c r="L51" s="40">
        <f>IFERROR('4. Report'!$D$61-INDEX('Debt Payment (Yearly)'!$C$12:$K$42,MATCH(L43,'Debt Payment (Yearly)'!$C$12:$C$42,0),7),0)</f>
        <v>0</v>
      </c>
      <c r="V51" s="5" t="str">
        <f>'3.1 Investor Splits'!I27</f>
        <v/>
      </c>
      <c r="W51" s="140" t="str">
        <f>IF($V51="","",IF('3.1 Investor Splits'!$F$8="Yes",
'3.1 Investor Splits'!$L27*W$33+IF(AND($V51="GP",'3.1 Investor Splits'!$F$14="Yes"),'3. Rent &amp; Expenses'!$I$25*W$16),
IF('3.1 Investor Splits'!$J27="GP",W$33-SUM(W52:W70)+IF('3.1 Investor Splits'!$F$14="Yes",'3. Rent &amp; Expenses'!$I$25*W$16,0),IF(W$32&lt;='3.1 Investor Splits'!$F$17,'3.1 Investor Splits'!$M27*12,0))))</f>
        <v/>
      </c>
      <c r="X51" s="140" t="str">
        <f>IF($V51="","",IF('3.1 Investor Splits'!$F$8="Yes",
'3.1 Investor Splits'!$L27*X$33+IF(AND($V51="GP",'3.1 Investor Splits'!$F$14="Yes"),'3. Rent &amp; Expenses'!$I$25*X$16),
IF('3.1 Investor Splits'!$J27="GP",X$33-SUM(X52:X70)+IF('3.1 Investor Splits'!$F$14="Yes",'3. Rent &amp; Expenses'!$I$25*X$16,0),IF(X$32&lt;='3.1 Investor Splits'!$F$17,'3.1 Investor Splits'!$M27*12,0))))</f>
        <v/>
      </c>
      <c r="Y51" s="140" t="str">
        <f>IF($V51="","",IF('3.1 Investor Splits'!$F$8="Yes",
'3.1 Investor Splits'!$L27*Y$33+IF(AND($V51="GP",'3.1 Investor Splits'!$F$14="Yes"),'3. Rent &amp; Expenses'!$I$25*Y$16),
IF('3.1 Investor Splits'!$J27="GP",Y$33-SUM(Y52:Y70)+IF('3.1 Investor Splits'!$F$14="Yes",'3. Rent &amp; Expenses'!$I$25*Y$16,0),IF(Y$32&lt;='3.1 Investor Splits'!$F$17,'3.1 Investor Splits'!$M27*12,0))))</f>
        <v/>
      </c>
      <c r="Z51" s="140" t="str">
        <f>IF($V51="","",IF('3.1 Investor Splits'!$F$8="Yes",
'3.1 Investor Splits'!$L27*Z$33+IF(AND($V51="GP",'3.1 Investor Splits'!$F$14="Yes"),'3. Rent &amp; Expenses'!$I$25*Z$16),
IF('3.1 Investor Splits'!$J27="GP",Z$33-SUM(Z52:Z70)+IF('3.1 Investor Splits'!$F$14="Yes",'3. Rent &amp; Expenses'!$I$25*Z$16,0),IF(Z$32&lt;='3.1 Investor Splits'!$F$17,'3.1 Investor Splits'!$M27*12,0))))</f>
        <v/>
      </c>
      <c r="AA51" s="140" t="str">
        <f>IF($V51="","",IF('3.1 Investor Splits'!$F$8="Yes",
'3.1 Investor Splits'!$L27*AA$33+IF(AND($V51="GP",'3.1 Investor Splits'!$F$14="Yes"),'3. Rent &amp; Expenses'!$I$25*AA$16),
IF('3.1 Investor Splits'!$J27="GP",AA$33-SUM(AA52:AA70)+IF('3.1 Investor Splits'!$F$14="Yes",'3. Rent &amp; Expenses'!$I$25*AA$16,0),IF(AA$32&lt;='3.1 Investor Splits'!$F$17,'3.1 Investor Splits'!$M27*12,0))))</f>
        <v/>
      </c>
      <c r="AB51" s="140" t="str">
        <f>IF($V51="","",IF('3.1 Investor Splits'!$F$8="Yes",
'3.1 Investor Splits'!$L27*AB$33+IF(AND($V51="GP",'3.1 Investor Splits'!$F$14="Yes"),'3. Rent &amp; Expenses'!$I$25*AB$16),
IF('3.1 Investor Splits'!$J27="GP",AB$33-SUM(AB52:AB70)+IF('3.1 Investor Splits'!$F$14="Yes",'3. Rent &amp; Expenses'!$I$25*AB$16,0),IF(AB$32&lt;='3.1 Investor Splits'!$F$17,'3.1 Investor Splits'!$M27*12,0))))</f>
        <v/>
      </c>
      <c r="AC51" s="140" t="str">
        <f>IF($V51="","",IF('3.1 Investor Splits'!$F$8="Yes",
'3.1 Investor Splits'!$L27*AC$33+IF(AND($V51="GP",'3.1 Investor Splits'!$F$14="Yes"),'3. Rent &amp; Expenses'!$I$25*AC$16),
IF('3.1 Investor Splits'!$J27="GP",AC$33-SUM(AC52:AC70)+IF('3.1 Investor Splits'!$F$14="Yes",'3. Rent &amp; Expenses'!$I$25*AC$16,0),IF(AC$32&lt;='3.1 Investor Splits'!$F$17,'3.1 Investor Splits'!$M27*12,0))))</f>
        <v/>
      </c>
      <c r="AD51" s="140" t="str">
        <f>IF($V51="","",IF('3.1 Investor Splits'!$F$8="Yes",
'3.1 Investor Splits'!$L27*AD$33+IF(AND($V51="GP",'3.1 Investor Splits'!$F$14="Yes"),'3. Rent &amp; Expenses'!$I$25*AD$16),
IF('3.1 Investor Splits'!$J27="GP",AD$33-SUM(AD52:AD70)+IF('3.1 Investor Splits'!$F$14="Yes",'3. Rent &amp; Expenses'!$I$25*AD$16,0),IF(AD$32&lt;='3.1 Investor Splits'!$F$17,'3.1 Investor Splits'!$M27*12,0))))</f>
        <v/>
      </c>
      <c r="AE51" s="140" t="str">
        <f>IF($V51="","",IF('3.1 Investor Splits'!$F$8="Yes",
'3.1 Investor Splits'!$L27*AE$33+IF(AND($V51="GP",'3.1 Investor Splits'!$F$14="Yes"),'3. Rent &amp; Expenses'!$I$25*AE$16),
IF('3.1 Investor Splits'!$J27="GP",AE$33-SUM(AE52:AE70)+IF('3.1 Investor Splits'!$F$14="Yes",'3. Rent &amp; Expenses'!$I$25*AE$16,0),IF(AE$32&lt;='3.1 Investor Splits'!$F$17,'3.1 Investor Splits'!$M27*12,0))))</f>
        <v/>
      </c>
      <c r="AF51" s="140" t="str">
        <f>IF($V51="","",IF('3.1 Investor Splits'!$F$8="Yes",
'3.1 Investor Splits'!$L27*AF$33+IF(AND($V51="GP",'3.1 Investor Splits'!$F$14="Yes"),'3. Rent &amp; Expenses'!$I$25*AF$16),
IF('3.1 Investor Splits'!$J27="GP",AF$33-SUM(AF52:AF70)+IF('3.1 Investor Splits'!$F$14="Yes",'3. Rent &amp; Expenses'!$I$25*AF$16,0),IF(AF$32&lt;='3.1 Investor Splits'!$F$17,'3.1 Investor Splits'!$M27*12,0))))</f>
        <v/>
      </c>
      <c r="AG51" s="140" t="str">
        <f>IF($V51="","",IF('3.1 Investor Splits'!$F$8="Yes",
'3.1 Investor Splits'!$L27*AG$33+IF(AND($V51="GP",'3.1 Investor Splits'!$F$14="Yes"),'3. Rent &amp; Expenses'!$I$25*AG$16),
IF('3.1 Investor Splits'!$J27="GP",AG$33-SUM(AG52:AG70)+IF('3.1 Investor Splits'!$F$14="Yes",'3. Rent &amp; Expenses'!$I$25*AG$16,0),IF(AG$32&lt;='3.1 Investor Splits'!$F$17,'3.1 Investor Splits'!$M27*12,0))))</f>
        <v/>
      </c>
      <c r="AH51" s="140" t="str">
        <f>IF($V51="","",IF('3.1 Investor Splits'!$F$8="Yes",
'3.1 Investor Splits'!$L27*AH$33+IF(AND($V51="GP",'3.1 Investor Splits'!$F$14="Yes"),'3. Rent &amp; Expenses'!$I$25*AH$16),
IF('3.1 Investor Splits'!$J27="GP",AH$33-SUM(AH52:AH70)+IF('3.1 Investor Splits'!$F$14="Yes",'3. Rent &amp; Expenses'!$I$25*AH$16,0),IF(AH$32&lt;='3.1 Investor Splits'!$F$17,'3.1 Investor Splits'!$M27*12,0))))</f>
        <v/>
      </c>
      <c r="AI51" s="140" t="str">
        <f>IF($V51="","",IF('3.1 Investor Splits'!$F$8="Yes",
'3.1 Investor Splits'!$L27*AI$33+IF(AND($V51="GP",'3.1 Investor Splits'!$F$14="Yes"),'3. Rent &amp; Expenses'!$I$25*AI$16),
IF('3.1 Investor Splits'!$J27="GP",AI$33-SUM(AI52:AI70)+IF('3.1 Investor Splits'!$F$14="Yes",'3. Rent &amp; Expenses'!$I$25*AI$16,0),IF(AI$32&lt;='3.1 Investor Splits'!$F$17,'3.1 Investor Splits'!$M27*12,0))))</f>
        <v/>
      </c>
      <c r="AJ51" s="140" t="str">
        <f>IF($V51="","",IF('3.1 Investor Splits'!$F$8="Yes",
'3.1 Investor Splits'!$L27*AJ$33+IF(AND($V51="GP",'3.1 Investor Splits'!$F$14="Yes"),'3. Rent &amp; Expenses'!$I$25*AJ$16),
IF('3.1 Investor Splits'!$J27="GP",AJ$33-SUM(AJ52:AJ70)+IF('3.1 Investor Splits'!$F$14="Yes",'3. Rent &amp; Expenses'!$I$25*AJ$16,0),IF(AJ$32&lt;='3.1 Investor Splits'!$F$17,'3.1 Investor Splits'!$M27*12,0))))</f>
        <v/>
      </c>
      <c r="AK51" s="140" t="str">
        <f>IF($V51="","",IF('3.1 Investor Splits'!$F$8="Yes",
'3.1 Investor Splits'!$L27*AK$33+IF(AND($V51="GP",'3.1 Investor Splits'!$F$14="Yes"),'3. Rent &amp; Expenses'!$I$25*AK$16),
IF('3.1 Investor Splits'!$J27="GP",AK$33-SUM(AK52:AK70)+IF('3.1 Investor Splits'!$F$14="Yes",'3. Rent &amp; Expenses'!$I$25*AK$16,0),IF(AK$32&lt;='3.1 Investor Splits'!$F$17,'3.1 Investor Splits'!$M27*12,0))))</f>
        <v/>
      </c>
      <c r="AL51" s="140" t="str">
        <f>IF($V51="","",IF('3.1 Investor Splits'!$F$8="Yes",
'3.1 Investor Splits'!$L27*AL$33+IF(AND($V51="GP",'3.1 Investor Splits'!$F$14="Yes"),'3. Rent &amp; Expenses'!$I$25*AL$16),
IF('3.1 Investor Splits'!$J27="GP",AL$33-SUM(AL52:AL70)+IF('3.1 Investor Splits'!$F$14="Yes",'3. Rent &amp; Expenses'!$I$25*AL$16,0),IF(AL$32&lt;='3.1 Investor Splits'!$F$17,'3.1 Investor Splits'!$M27*12,0))))</f>
        <v/>
      </c>
      <c r="AM51" s="140" t="str">
        <f>IF($V51="","",IF('3.1 Investor Splits'!$F$8="Yes",
'3.1 Investor Splits'!$L27*AM$33+IF(AND($V51="GP",'3.1 Investor Splits'!$F$14="Yes"),'3. Rent &amp; Expenses'!$I$25*AM$16),
IF('3.1 Investor Splits'!$J27="GP",AM$33-SUM(AM52:AM70)+IF('3.1 Investor Splits'!$F$14="Yes",'3. Rent &amp; Expenses'!$I$25*AM$16,0),IF(AM$32&lt;='3.1 Investor Splits'!$F$17,'3.1 Investor Splits'!$M27*12,0))))</f>
        <v/>
      </c>
      <c r="AN51" s="140" t="str">
        <f>IF($V51="","",IF('3.1 Investor Splits'!$F$8="Yes",
'3.1 Investor Splits'!$L27*AN$33+IF(AND($V51="GP",'3.1 Investor Splits'!$F$14="Yes"),'3. Rent &amp; Expenses'!$I$25*AN$16),
IF('3.1 Investor Splits'!$J27="GP",AN$33-SUM(AN52:AN70)+IF('3.1 Investor Splits'!$F$14="Yes",'3. Rent &amp; Expenses'!$I$25*AN$16,0),IF(AN$32&lt;='3.1 Investor Splits'!$F$17,'3.1 Investor Splits'!$M27*12,0))))</f>
        <v/>
      </c>
      <c r="AO51" s="140" t="str">
        <f>IF($V51="","",IF('3.1 Investor Splits'!$F$8="Yes",
'3.1 Investor Splits'!$L27*AO$33+IF(AND($V51="GP",'3.1 Investor Splits'!$F$14="Yes"),'3. Rent &amp; Expenses'!$I$25*AO$16),
IF('3.1 Investor Splits'!$J27="GP",AO$33-SUM(AO52:AO70)+IF('3.1 Investor Splits'!$F$14="Yes",'3. Rent &amp; Expenses'!$I$25*AO$16,0),IF(AO$32&lt;='3.1 Investor Splits'!$F$17,'3.1 Investor Splits'!$M27*12,0))))</f>
        <v/>
      </c>
      <c r="AP51" s="140" t="str">
        <f>IF($V51="","",IF('3.1 Investor Splits'!$F$8="Yes",
'3.1 Investor Splits'!$L27*AP$33+IF(AND($V51="GP",'3.1 Investor Splits'!$F$14="Yes"),'3. Rent &amp; Expenses'!$I$25*AP$16),
IF('3.1 Investor Splits'!$J27="GP",AP$33-SUM(AP52:AP70)+IF('3.1 Investor Splits'!$F$14="Yes",'3. Rent &amp; Expenses'!$I$25*AP$16,0),IF(AP$32&lt;='3.1 Investor Splits'!$F$17,'3.1 Investor Splits'!$M27*12,0))))</f>
        <v/>
      </c>
      <c r="AQ51" s="140" t="str">
        <f>IF($V51="","",IF('3.1 Investor Splits'!$F$8="Yes",
'3.1 Investor Splits'!$L27*AQ$33+IF(AND($V51="GP",'3.1 Investor Splits'!$F$14="Yes"),'3. Rent &amp; Expenses'!$I$25*AQ$16),
IF('3.1 Investor Splits'!$J27="GP",AQ$33-SUM(AQ52:AQ70)+IF('3.1 Investor Splits'!$F$14="Yes",'3. Rent &amp; Expenses'!$I$25*AQ$16,0),IF(AQ$32&lt;='3.1 Investor Splits'!$F$17,'3.1 Investor Splits'!$M27*12,0))))</f>
        <v/>
      </c>
      <c r="AR51" s="140" t="str">
        <f>IF($V51="","",IF('3.1 Investor Splits'!$F$8="Yes",
'3.1 Investor Splits'!$L27*AR$33+IF(AND($V51="GP",'3.1 Investor Splits'!$F$14="Yes"),'3. Rent &amp; Expenses'!$I$25*AR$16),
IF('3.1 Investor Splits'!$J27="GP",AR$33-SUM(AR52:AR70)+IF('3.1 Investor Splits'!$F$14="Yes",'3. Rent &amp; Expenses'!$I$25*AR$16,0),IF(AR$32&lt;='3.1 Investor Splits'!$F$17,'3.1 Investor Splits'!$M27*12,0))))</f>
        <v/>
      </c>
      <c r="AS51" s="140" t="str">
        <f>IF($V51="","",IF('3.1 Investor Splits'!$F$8="Yes",
'3.1 Investor Splits'!$L27*AS$33+IF(AND($V51="GP",'3.1 Investor Splits'!$F$14="Yes"),'3. Rent &amp; Expenses'!$I$25*AS$16),
IF('3.1 Investor Splits'!$J27="GP",AS$33-SUM(AS52:AS70)+IF('3.1 Investor Splits'!$F$14="Yes",'3. Rent &amp; Expenses'!$I$25*AS$16,0),IF(AS$32&lt;='3.1 Investor Splits'!$F$17,'3.1 Investor Splits'!$M27*12,0))))</f>
        <v/>
      </c>
      <c r="AT51" s="140" t="str">
        <f>IF($V51="","",IF('3.1 Investor Splits'!$F$8="Yes",
'3.1 Investor Splits'!$L27*AT$33+IF(AND($V51="GP",'3.1 Investor Splits'!$F$14="Yes"),'3. Rent &amp; Expenses'!$I$25*AT$16),
IF('3.1 Investor Splits'!$J27="GP",AT$33-SUM(AT52:AT70)+IF('3.1 Investor Splits'!$F$14="Yes",'3. Rent &amp; Expenses'!$I$25*AT$16,0),IF(AT$32&lt;='3.1 Investor Splits'!$F$17,'3.1 Investor Splits'!$M27*12,0))))</f>
        <v/>
      </c>
      <c r="AU51" s="140" t="str">
        <f>IF($V51="","",IF('3.1 Investor Splits'!$F$8="Yes",
'3.1 Investor Splits'!$L27*AU$33+IF(AND($V51="GP",'3.1 Investor Splits'!$F$14="Yes"),'3. Rent &amp; Expenses'!$I$25*AU$16),
IF('3.1 Investor Splits'!$J27="GP",AU$33-SUM(AU52:AU70)+IF('3.1 Investor Splits'!$F$14="Yes",'3. Rent &amp; Expenses'!$I$25*AU$16,0),IF(AU$32&lt;='3.1 Investor Splits'!$F$17,'3.1 Investor Splits'!$M27*12,0))))</f>
        <v/>
      </c>
      <c r="AV51" s="140" t="str">
        <f>IF($V51="","",IF('3.1 Investor Splits'!$F$8="Yes",
'3.1 Investor Splits'!$L27*AV$33+IF(AND($V51="GP",'3.1 Investor Splits'!$F$14="Yes"),'3. Rent &amp; Expenses'!$I$25*AV$16),
IF('3.1 Investor Splits'!$J27="GP",AV$33-SUM(AV52:AV70)+IF('3.1 Investor Splits'!$F$14="Yes",'3. Rent &amp; Expenses'!$I$25*AV$16,0),IF(AV$32&lt;='3.1 Investor Splits'!$F$17,'3.1 Investor Splits'!$M27*12,0))))</f>
        <v/>
      </c>
      <c r="AW51" s="140" t="str">
        <f>IF($V51="","",IF('3.1 Investor Splits'!$F$8="Yes",
'3.1 Investor Splits'!$L27*AW$33+IF(AND($V51="GP",'3.1 Investor Splits'!$F$14="Yes"),'3. Rent &amp; Expenses'!$I$25*AW$16),
IF('3.1 Investor Splits'!$J27="GP",AW$33-SUM(AW52:AW70)+IF('3.1 Investor Splits'!$F$14="Yes",'3. Rent &amp; Expenses'!$I$25*AW$16,0),IF(AW$32&lt;='3.1 Investor Splits'!$F$17,'3.1 Investor Splits'!$M27*12,0))))</f>
        <v/>
      </c>
      <c r="AX51" s="140" t="str">
        <f>IF($V51="","",IF('3.1 Investor Splits'!$F$8="Yes",
'3.1 Investor Splits'!$L27*AX$33+IF(AND($V51="GP",'3.1 Investor Splits'!$F$14="Yes"),'3. Rent &amp; Expenses'!$I$25*AX$16),
IF('3.1 Investor Splits'!$J27="GP",AX$33-SUM(AX52:AX70)+IF('3.1 Investor Splits'!$F$14="Yes",'3. Rent &amp; Expenses'!$I$25*AX$16,0),IF(AX$32&lt;='3.1 Investor Splits'!$F$17,'3.1 Investor Splits'!$M27*12,0))))</f>
        <v/>
      </c>
      <c r="AY51" s="140" t="str">
        <f>IF($V51="","",IF('3.1 Investor Splits'!$F$8="Yes",
'3.1 Investor Splits'!$L27*AY$33+IF(AND($V51="GP",'3.1 Investor Splits'!$F$14="Yes"),'3. Rent &amp; Expenses'!$I$25*AY$16),
IF('3.1 Investor Splits'!$J27="GP",AY$33-SUM(AY52:AY70)+IF('3.1 Investor Splits'!$F$14="Yes",'3. Rent &amp; Expenses'!$I$25*AY$16,0),IF(AY$32&lt;='3.1 Investor Splits'!$F$17,'3.1 Investor Splits'!$M27*12,0))))</f>
        <v/>
      </c>
      <c r="AZ51" s="140" t="str">
        <f>IF($V51="","",IF('3.1 Investor Splits'!$F$8="Yes",
'3.1 Investor Splits'!$L27*AZ$33+IF(AND($V51="GP",'3.1 Investor Splits'!$F$14="Yes"),'3. Rent &amp; Expenses'!$I$25*AZ$16),
IF('3.1 Investor Splits'!$J27="GP",AZ$33-SUM(AZ52:AZ70)+IF('3.1 Investor Splits'!$F$14="Yes",'3. Rent &amp; Expenses'!$I$25*AZ$16,0),IF(AZ$32&lt;='3.1 Investor Splits'!$F$17,'3.1 Investor Splits'!$M27*12,0))))</f>
        <v/>
      </c>
    </row>
    <row r="52" spans="2:52" ht="16" thickTop="1" x14ac:dyDescent="0.2">
      <c r="B52" s="15" t="s">
        <v>127</v>
      </c>
      <c r="C52" s="17">
        <f>C50-C51</f>
        <v>133378.63826301706</v>
      </c>
      <c r="D52" s="17">
        <f t="shared" ref="D52:L52" si="32">D50-D51</f>
        <v>136046.21102827741</v>
      </c>
      <c r="E52" s="17">
        <f t="shared" si="32"/>
        <v>138767.13524884294</v>
      </c>
      <c r="F52" s="17">
        <f t="shared" si="32"/>
        <v>141542.47795381979</v>
      </c>
      <c r="G52" s="17">
        <f t="shared" si="32"/>
        <v>144373.32751289621</v>
      </c>
      <c r="H52" s="17">
        <f t="shared" si="32"/>
        <v>147260.79406315414</v>
      </c>
      <c r="I52" s="17">
        <f t="shared" si="32"/>
        <v>150206.00994441719</v>
      </c>
      <c r="J52" s="17">
        <f t="shared" si="32"/>
        <v>153210.13014330558</v>
      </c>
      <c r="K52" s="17">
        <f t="shared" si="32"/>
        <v>156274.33274617165</v>
      </c>
      <c r="L52" s="18">
        <f t="shared" si="32"/>
        <v>159399.8194010951</v>
      </c>
      <c r="V52" s="5" t="str">
        <f>'3.1 Investor Splits'!I28</f>
        <v/>
      </c>
      <c r="W52" s="140" t="str">
        <f>IF($V52="","",IF('3.1 Investor Splits'!$F$8="Yes",
'3.1 Investor Splits'!$L28*W$33+IF(AND($V52="GP",'3.1 Investor Splits'!$F$14="Yes"),'3. Rent &amp; Expenses'!$I$25*W$16),
IF('3.1 Investor Splits'!$J28="GP",W$33-SUM(W53:W71)+IF('3.1 Investor Splits'!$F$14="Yes",'3. Rent &amp; Expenses'!$I$25*W$16,0),IF(W$32&lt;='3.1 Investor Splits'!$F$17,'3.1 Investor Splits'!$M28*12,0))))</f>
        <v/>
      </c>
      <c r="X52" s="140" t="str">
        <f>IF($V52="","",IF('3.1 Investor Splits'!$F$8="Yes",
'3.1 Investor Splits'!$L28*X$33+IF(AND($V52="GP",'3.1 Investor Splits'!$F$14="Yes"),'3. Rent &amp; Expenses'!$I$25*X$16),
IF('3.1 Investor Splits'!$J28="GP",X$33-SUM(X53:X71)+IF('3.1 Investor Splits'!$F$14="Yes",'3. Rent &amp; Expenses'!$I$25*X$16,0),IF(X$32&lt;='3.1 Investor Splits'!$F$17,'3.1 Investor Splits'!$M28*12,0))))</f>
        <v/>
      </c>
      <c r="Y52" s="140" t="str">
        <f>IF($V52="","",IF('3.1 Investor Splits'!$F$8="Yes",
'3.1 Investor Splits'!$L28*Y$33+IF(AND($V52="GP",'3.1 Investor Splits'!$F$14="Yes"),'3. Rent &amp; Expenses'!$I$25*Y$16),
IF('3.1 Investor Splits'!$J28="GP",Y$33-SUM(Y53:Y71)+IF('3.1 Investor Splits'!$F$14="Yes",'3. Rent &amp; Expenses'!$I$25*Y$16,0),IF(Y$32&lt;='3.1 Investor Splits'!$F$17,'3.1 Investor Splits'!$M28*12,0))))</f>
        <v/>
      </c>
      <c r="Z52" s="140" t="str">
        <f>IF($V52="","",IF('3.1 Investor Splits'!$F$8="Yes",
'3.1 Investor Splits'!$L28*Z$33+IF(AND($V52="GP",'3.1 Investor Splits'!$F$14="Yes"),'3. Rent &amp; Expenses'!$I$25*Z$16),
IF('3.1 Investor Splits'!$J28="GP",Z$33-SUM(Z53:Z71)+IF('3.1 Investor Splits'!$F$14="Yes",'3. Rent &amp; Expenses'!$I$25*Z$16,0),IF(Z$32&lt;='3.1 Investor Splits'!$F$17,'3.1 Investor Splits'!$M28*12,0))))</f>
        <v/>
      </c>
      <c r="AA52" s="140" t="str">
        <f>IF($V52="","",IF('3.1 Investor Splits'!$F$8="Yes",
'3.1 Investor Splits'!$L28*AA$33+IF(AND($V52="GP",'3.1 Investor Splits'!$F$14="Yes"),'3. Rent &amp; Expenses'!$I$25*AA$16),
IF('3.1 Investor Splits'!$J28="GP",AA$33-SUM(AA53:AA71)+IF('3.1 Investor Splits'!$F$14="Yes",'3. Rent &amp; Expenses'!$I$25*AA$16,0),IF(AA$32&lt;='3.1 Investor Splits'!$F$17,'3.1 Investor Splits'!$M28*12,0))))</f>
        <v/>
      </c>
      <c r="AB52" s="140" t="str">
        <f>IF($V52="","",IF('3.1 Investor Splits'!$F$8="Yes",
'3.1 Investor Splits'!$L28*AB$33+IF(AND($V52="GP",'3.1 Investor Splits'!$F$14="Yes"),'3. Rent &amp; Expenses'!$I$25*AB$16),
IF('3.1 Investor Splits'!$J28="GP",AB$33-SUM(AB53:AB71)+IF('3.1 Investor Splits'!$F$14="Yes",'3. Rent &amp; Expenses'!$I$25*AB$16,0),IF(AB$32&lt;='3.1 Investor Splits'!$F$17,'3.1 Investor Splits'!$M28*12,0))))</f>
        <v/>
      </c>
      <c r="AC52" s="140" t="str">
        <f>IF($V52="","",IF('3.1 Investor Splits'!$F$8="Yes",
'3.1 Investor Splits'!$L28*AC$33+IF(AND($V52="GP",'3.1 Investor Splits'!$F$14="Yes"),'3. Rent &amp; Expenses'!$I$25*AC$16),
IF('3.1 Investor Splits'!$J28="GP",AC$33-SUM(AC53:AC71)+IF('3.1 Investor Splits'!$F$14="Yes",'3. Rent &amp; Expenses'!$I$25*AC$16,0),IF(AC$32&lt;='3.1 Investor Splits'!$F$17,'3.1 Investor Splits'!$M28*12,0))))</f>
        <v/>
      </c>
      <c r="AD52" s="140" t="str">
        <f>IF($V52="","",IF('3.1 Investor Splits'!$F$8="Yes",
'3.1 Investor Splits'!$L28*AD$33+IF(AND($V52="GP",'3.1 Investor Splits'!$F$14="Yes"),'3. Rent &amp; Expenses'!$I$25*AD$16),
IF('3.1 Investor Splits'!$J28="GP",AD$33-SUM(AD53:AD71)+IF('3.1 Investor Splits'!$F$14="Yes",'3. Rent &amp; Expenses'!$I$25*AD$16,0),IF(AD$32&lt;='3.1 Investor Splits'!$F$17,'3.1 Investor Splits'!$M28*12,0))))</f>
        <v/>
      </c>
      <c r="AE52" s="140" t="str">
        <f>IF($V52="","",IF('3.1 Investor Splits'!$F$8="Yes",
'3.1 Investor Splits'!$L28*AE$33+IF(AND($V52="GP",'3.1 Investor Splits'!$F$14="Yes"),'3. Rent &amp; Expenses'!$I$25*AE$16),
IF('3.1 Investor Splits'!$J28="GP",AE$33-SUM(AE53:AE71)+IF('3.1 Investor Splits'!$F$14="Yes",'3. Rent &amp; Expenses'!$I$25*AE$16,0),IF(AE$32&lt;='3.1 Investor Splits'!$F$17,'3.1 Investor Splits'!$M28*12,0))))</f>
        <v/>
      </c>
      <c r="AF52" s="140" t="str">
        <f>IF($V52="","",IF('3.1 Investor Splits'!$F$8="Yes",
'3.1 Investor Splits'!$L28*AF$33+IF(AND($V52="GP",'3.1 Investor Splits'!$F$14="Yes"),'3. Rent &amp; Expenses'!$I$25*AF$16),
IF('3.1 Investor Splits'!$J28="GP",AF$33-SUM(AF53:AF71)+IF('3.1 Investor Splits'!$F$14="Yes",'3. Rent &amp; Expenses'!$I$25*AF$16,0),IF(AF$32&lt;='3.1 Investor Splits'!$F$17,'3.1 Investor Splits'!$M28*12,0))))</f>
        <v/>
      </c>
      <c r="AG52" s="140" t="str">
        <f>IF($V52="","",IF('3.1 Investor Splits'!$F$8="Yes",
'3.1 Investor Splits'!$L28*AG$33+IF(AND($V52="GP",'3.1 Investor Splits'!$F$14="Yes"),'3. Rent &amp; Expenses'!$I$25*AG$16),
IF('3.1 Investor Splits'!$J28="GP",AG$33-SUM(AG53:AG71)+IF('3.1 Investor Splits'!$F$14="Yes",'3. Rent &amp; Expenses'!$I$25*AG$16,0),IF(AG$32&lt;='3.1 Investor Splits'!$F$17,'3.1 Investor Splits'!$M28*12,0))))</f>
        <v/>
      </c>
      <c r="AH52" s="140" t="str">
        <f>IF($V52="","",IF('3.1 Investor Splits'!$F$8="Yes",
'3.1 Investor Splits'!$L28*AH$33+IF(AND($V52="GP",'3.1 Investor Splits'!$F$14="Yes"),'3. Rent &amp; Expenses'!$I$25*AH$16),
IF('3.1 Investor Splits'!$J28="GP",AH$33-SUM(AH53:AH71)+IF('3.1 Investor Splits'!$F$14="Yes",'3. Rent &amp; Expenses'!$I$25*AH$16,0),IF(AH$32&lt;='3.1 Investor Splits'!$F$17,'3.1 Investor Splits'!$M28*12,0))))</f>
        <v/>
      </c>
      <c r="AI52" s="140" t="str">
        <f>IF($V52="","",IF('3.1 Investor Splits'!$F$8="Yes",
'3.1 Investor Splits'!$L28*AI$33+IF(AND($V52="GP",'3.1 Investor Splits'!$F$14="Yes"),'3. Rent &amp; Expenses'!$I$25*AI$16),
IF('3.1 Investor Splits'!$J28="GP",AI$33-SUM(AI53:AI71)+IF('3.1 Investor Splits'!$F$14="Yes",'3. Rent &amp; Expenses'!$I$25*AI$16,0),IF(AI$32&lt;='3.1 Investor Splits'!$F$17,'3.1 Investor Splits'!$M28*12,0))))</f>
        <v/>
      </c>
      <c r="AJ52" s="140" t="str">
        <f>IF($V52="","",IF('3.1 Investor Splits'!$F$8="Yes",
'3.1 Investor Splits'!$L28*AJ$33+IF(AND($V52="GP",'3.1 Investor Splits'!$F$14="Yes"),'3. Rent &amp; Expenses'!$I$25*AJ$16),
IF('3.1 Investor Splits'!$J28="GP",AJ$33-SUM(AJ53:AJ71)+IF('3.1 Investor Splits'!$F$14="Yes",'3. Rent &amp; Expenses'!$I$25*AJ$16,0),IF(AJ$32&lt;='3.1 Investor Splits'!$F$17,'3.1 Investor Splits'!$M28*12,0))))</f>
        <v/>
      </c>
      <c r="AK52" s="140" t="str">
        <f>IF($V52="","",IF('3.1 Investor Splits'!$F$8="Yes",
'3.1 Investor Splits'!$L28*AK$33+IF(AND($V52="GP",'3.1 Investor Splits'!$F$14="Yes"),'3. Rent &amp; Expenses'!$I$25*AK$16),
IF('3.1 Investor Splits'!$J28="GP",AK$33-SUM(AK53:AK71)+IF('3.1 Investor Splits'!$F$14="Yes",'3. Rent &amp; Expenses'!$I$25*AK$16,0),IF(AK$32&lt;='3.1 Investor Splits'!$F$17,'3.1 Investor Splits'!$M28*12,0))))</f>
        <v/>
      </c>
      <c r="AL52" s="140" t="str">
        <f>IF($V52="","",IF('3.1 Investor Splits'!$F$8="Yes",
'3.1 Investor Splits'!$L28*AL$33+IF(AND($V52="GP",'3.1 Investor Splits'!$F$14="Yes"),'3. Rent &amp; Expenses'!$I$25*AL$16),
IF('3.1 Investor Splits'!$J28="GP",AL$33-SUM(AL53:AL71)+IF('3.1 Investor Splits'!$F$14="Yes",'3. Rent &amp; Expenses'!$I$25*AL$16,0),IF(AL$32&lt;='3.1 Investor Splits'!$F$17,'3.1 Investor Splits'!$M28*12,0))))</f>
        <v/>
      </c>
      <c r="AM52" s="140" t="str">
        <f>IF($V52="","",IF('3.1 Investor Splits'!$F$8="Yes",
'3.1 Investor Splits'!$L28*AM$33+IF(AND($V52="GP",'3.1 Investor Splits'!$F$14="Yes"),'3. Rent &amp; Expenses'!$I$25*AM$16),
IF('3.1 Investor Splits'!$J28="GP",AM$33-SUM(AM53:AM71)+IF('3.1 Investor Splits'!$F$14="Yes",'3. Rent &amp; Expenses'!$I$25*AM$16,0),IF(AM$32&lt;='3.1 Investor Splits'!$F$17,'3.1 Investor Splits'!$M28*12,0))))</f>
        <v/>
      </c>
      <c r="AN52" s="140" t="str">
        <f>IF($V52="","",IF('3.1 Investor Splits'!$F$8="Yes",
'3.1 Investor Splits'!$L28*AN$33+IF(AND($V52="GP",'3.1 Investor Splits'!$F$14="Yes"),'3. Rent &amp; Expenses'!$I$25*AN$16),
IF('3.1 Investor Splits'!$J28="GP",AN$33-SUM(AN53:AN71)+IF('3.1 Investor Splits'!$F$14="Yes",'3. Rent &amp; Expenses'!$I$25*AN$16,0),IF(AN$32&lt;='3.1 Investor Splits'!$F$17,'3.1 Investor Splits'!$M28*12,0))))</f>
        <v/>
      </c>
      <c r="AO52" s="140" t="str">
        <f>IF($V52="","",IF('3.1 Investor Splits'!$F$8="Yes",
'3.1 Investor Splits'!$L28*AO$33+IF(AND($V52="GP",'3.1 Investor Splits'!$F$14="Yes"),'3. Rent &amp; Expenses'!$I$25*AO$16),
IF('3.1 Investor Splits'!$J28="GP",AO$33-SUM(AO53:AO71)+IF('3.1 Investor Splits'!$F$14="Yes",'3. Rent &amp; Expenses'!$I$25*AO$16,0),IF(AO$32&lt;='3.1 Investor Splits'!$F$17,'3.1 Investor Splits'!$M28*12,0))))</f>
        <v/>
      </c>
      <c r="AP52" s="140" t="str">
        <f>IF($V52="","",IF('3.1 Investor Splits'!$F$8="Yes",
'3.1 Investor Splits'!$L28*AP$33+IF(AND($V52="GP",'3.1 Investor Splits'!$F$14="Yes"),'3. Rent &amp; Expenses'!$I$25*AP$16),
IF('3.1 Investor Splits'!$J28="GP",AP$33-SUM(AP53:AP71)+IF('3.1 Investor Splits'!$F$14="Yes",'3. Rent &amp; Expenses'!$I$25*AP$16,0),IF(AP$32&lt;='3.1 Investor Splits'!$F$17,'3.1 Investor Splits'!$M28*12,0))))</f>
        <v/>
      </c>
      <c r="AQ52" s="140" t="str">
        <f>IF($V52="","",IF('3.1 Investor Splits'!$F$8="Yes",
'3.1 Investor Splits'!$L28*AQ$33+IF(AND($V52="GP",'3.1 Investor Splits'!$F$14="Yes"),'3. Rent &amp; Expenses'!$I$25*AQ$16),
IF('3.1 Investor Splits'!$J28="GP",AQ$33-SUM(AQ53:AQ71)+IF('3.1 Investor Splits'!$F$14="Yes",'3. Rent &amp; Expenses'!$I$25*AQ$16,0),IF(AQ$32&lt;='3.1 Investor Splits'!$F$17,'3.1 Investor Splits'!$M28*12,0))))</f>
        <v/>
      </c>
      <c r="AR52" s="140" t="str">
        <f>IF($V52="","",IF('3.1 Investor Splits'!$F$8="Yes",
'3.1 Investor Splits'!$L28*AR$33+IF(AND($V52="GP",'3.1 Investor Splits'!$F$14="Yes"),'3. Rent &amp; Expenses'!$I$25*AR$16),
IF('3.1 Investor Splits'!$J28="GP",AR$33-SUM(AR53:AR71)+IF('3.1 Investor Splits'!$F$14="Yes",'3. Rent &amp; Expenses'!$I$25*AR$16,0),IF(AR$32&lt;='3.1 Investor Splits'!$F$17,'3.1 Investor Splits'!$M28*12,0))))</f>
        <v/>
      </c>
      <c r="AS52" s="140" t="str">
        <f>IF($V52="","",IF('3.1 Investor Splits'!$F$8="Yes",
'3.1 Investor Splits'!$L28*AS$33+IF(AND($V52="GP",'3.1 Investor Splits'!$F$14="Yes"),'3. Rent &amp; Expenses'!$I$25*AS$16),
IF('3.1 Investor Splits'!$J28="GP",AS$33-SUM(AS53:AS71)+IF('3.1 Investor Splits'!$F$14="Yes",'3. Rent &amp; Expenses'!$I$25*AS$16,0),IF(AS$32&lt;='3.1 Investor Splits'!$F$17,'3.1 Investor Splits'!$M28*12,0))))</f>
        <v/>
      </c>
      <c r="AT52" s="140" t="str">
        <f>IF($V52="","",IF('3.1 Investor Splits'!$F$8="Yes",
'3.1 Investor Splits'!$L28*AT$33+IF(AND($V52="GP",'3.1 Investor Splits'!$F$14="Yes"),'3. Rent &amp; Expenses'!$I$25*AT$16),
IF('3.1 Investor Splits'!$J28="GP",AT$33-SUM(AT53:AT71)+IF('3.1 Investor Splits'!$F$14="Yes",'3. Rent &amp; Expenses'!$I$25*AT$16,0),IF(AT$32&lt;='3.1 Investor Splits'!$F$17,'3.1 Investor Splits'!$M28*12,0))))</f>
        <v/>
      </c>
      <c r="AU52" s="140" t="str">
        <f>IF($V52="","",IF('3.1 Investor Splits'!$F$8="Yes",
'3.1 Investor Splits'!$L28*AU$33+IF(AND($V52="GP",'3.1 Investor Splits'!$F$14="Yes"),'3. Rent &amp; Expenses'!$I$25*AU$16),
IF('3.1 Investor Splits'!$J28="GP",AU$33-SUM(AU53:AU71)+IF('3.1 Investor Splits'!$F$14="Yes",'3. Rent &amp; Expenses'!$I$25*AU$16,0),IF(AU$32&lt;='3.1 Investor Splits'!$F$17,'3.1 Investor Splits'!$M28*12,0))))</f>
        <v/>
      </c>
      <c r="AV52" s="140" t="str">
        <f>IF($V52="","",IF('3.1 Investor Splits'!$F$8="Yes",
'3.1 Investor Splits'!$L28*AV$33+IF(AND($V52="GP",'3.1 Investor Splits'!$F$14="Yes"),'3. Rent &amp; Expenses'!$I$25*AV$16),
IF('3.1 Investor Splits'!$J28="GP",AV$33-SUM(AV53:AV71)+IF('3.1 Investor Splits'!$F$14="Yes",'3. Rent &amp; Expenses'!$I$25*AV$16,0),IF(AV$32&lt;='3.1 Investor Splits'!$F$17,'3.1 Investor Splits'!$M28*12,0))))</f>
        <v/>
      </c>
      <c r="AW52" s="140" t="str">
        <f>IF($V52="","",IF('3.1 Investor Splits'!$F$8="Yes",
'3.1 Investor Splits'!$L28*AW$33+IF(AND($V52="GP",'3.1 Investor Splits'!$F$14="Yes"),'3. Rent &amp; Expenses'!$I$25*AW$16),
IF('3.1 Investor Splits'!$J28="GP",AW$33-SUM(AW53:AW71)+IF('3.1 Investor Splits'!$F$14="Yes",'3. Rent &amp; Expenses'!$I$25*AW$16,0),IF(AW$32&lt;='3.1 Investor Splits'!$F$17,'3.1 Investor Splits'!$M28*12,0))))</f>
        <v/>
      </c>
      <c r="AX52" s="140" t="str">
        <f>IF($V52="","",IF('3.1 Investor Splits'!$F$8="Yes",
'3.1 Investor Splits'!$L28*AX$33+IF(AND($V52="GP",'3.1 Investor Splits'!$F$14="Yes"),'3. Rent &amp; Expenses'!$I$25*AX$16),
IF('3.1 Investor Splits'!$J28="GP",AX$33-SUM(AX53:AX71)+IF('3.1 Investor Splits'!$F$14="Yes",'3. Rent &amp; Expenses'!$I$25*AX$16,0),IF(AX$32&lt;='3.1 Investor Splits'!$F$17,'3.1 Investor Splits'!$M28*12,0))))</f>
        <v/>
      </c>
      <c r="AY52" s="140" t="str">
        <f>IF($V52="","",IF('3.1 Investor Splits'!$F$8="Yes",
'3.1 Investor Splits'!$L28*AY$33+IF(AND($V52="GP",'3.1 Investor Splits'!$F$14="Yes"),'3. Rent &amp; Expenses'!$I$25*AY$16),
IF('3.1 Investor Splits'!$J28="GP",AY$33-SUM(AY53:AY71)+IF('3.1 Investor Splits'!$F$14="Yes",'3. Rent &amp; Expenses'!$I$25*AY$16,0),IF(AY$32&lt;='3.1 Investor Splits'!$F$17,'3.1 Investor Splits'!$M28*12,0))))</f>
        <v/>
      </c>
      <c r="AZ52" s="140" t="str">
        <f>IF($V52="","",IF('3.1 Investor Splits'!$F$8="Yes",
'3.1 Investor Splits'!$L28*AZ$33+IF(AND($V52="GP",'3.1 Investor Splits'!$F$14="Yes"),'3. Rent &amp; Expenses'!$I$25*AZ$16),
IF('3.1 Investor Splits'!$J28="GP",AZ$33-SUM(AZ53:AZ71)+IF('3.1 Investor Splits'!$F$14="Yes",'3. Rent &amp; Expenses'!$I$25*AZ$16,0),IF(AZ$32&lt;='3.1 Investor Splits'!$F$17,'3.1 Investor Splits'!$M28*12,0))))</f>
        <v/>
      </c>
    </row>
    <row r="53" spans="2:52" x14ac:dyDescent="0.2">
      <c r="B53" s="15" t="s">
        <v>129</v>
      </c>
      <c r="C53" s="17">
        <f>C50-C51-(C50*'3. Rent &amp; Expenses'!$J$30)+SUM($C$17:$L$17,$C$34:$L$34,'Pro Forma'!$C$48:C48)-'4. Report'!$D$80</f>
        <v>186109.68470526859</v>
      </c>
      <c r="D53" s="17">
        <f>D50-D51-(D50*'3. Rent &amp; Expenses'!$J$30)+SUM($C$17:$L$17,$C$34:$L$34,'Pro Forma'!$C$48:D48)-'4. Report'!$D$80</f>
        <v>197563.87839937396</v>
      </c>
      <c r="E53" s="17">
        <f>E50-E51-(E50*'3. Rent &amp; Expenses'!$J$30)+SUM($C$17:$L$17,$C$34:$L$34,'Pro Forma'!$C$48:E48)-'4. Report'!$D$80</f>
        <v>209247.15596736141</v>
      </c>
      <c r="F53" s="17">
        <f>F50-F51-(F50*'3. Rent &amp; Expenses'!$J$30)+SUM($C$17:$L$17,$C$34:$L$34,'Pro Forma'!$C$48:F48)-'4. Report'!$D$80</f>
        <v>221164.09908670862</v>
      </c>
      <c r="G53" s="17">
        <f>G50-G51-(G50*'3. Rent &amp; Expenses'!$J$30)+SUM($C$17:$L$17,$C$34:$L$34,'Pro Forma'!$C$48:G48)-'4. Report'!$D$80</f>
        <v>233319.38106844283</v>
      </c>
      <c r="H53" s="17">
        <f>H50-H51-(H50*'3. Rent &amp; Expenses'!$J$30)+SUM($C$17:$L$17,$C$34:$L$34,'Pro Forma'!$C$48:H48)-'4. Report'!$D$80</f>
        <v>245717.7686898117</v>
      </c>
      <c r="I53" s="17">
        <f>I50-I51-(I50*'3. Rent &amp; Expenses'!$J$30)+SUM($C$17:$L$17,$C$34:$L$34,'Pro Forma'!$C$48:I48)-'4. Report'!$D$80</f>
        <v>258364.12406360789</v>
      </c>
      <c r="J53" s="17">
        <f>J50-J51-(J50*'3. Rent &amp; Expenses'!$J$30)+SUM($C$17:$L$17,$C$34:$L$34,'Pro Forma'!$C$48:J48)-'4. Report'!$D$80</f>
        <v>271263.40654488007</v>
      </c>
      <c r="K53" s="17">
        <f>K50-K51-(K50*'3. Rent &amp; Expenses'!$J$30)+SUM($C$17:$L$17,$C$34:$L$34,'Pro Forma'!$C$48:K48)-'4. Report'!$D$80</f>
        <v>284420.67467577761</v>
      </c>
      <c r="L53" s="18">
        <f>L50-L51-(L50*'3. Rent &amp; Expenses'!$J$30)+SUM($C$17:$L$17,$C$34:$L$34,'Pro Forma'!$C$48:L48)-'4. Report'!$D$80</f>
        <v>297841.08816929319</v>
      </c>
      <c r="V53" s="5" t="str">
        <f>'3.1 Investor Splits'!I29</f>
        <v/>
      </c>
      <c r="W53" s="140" t="str">
        <f>IF($V53="","",IF('3.1 Investor Splits'!$F$8="Yes",
'3.1 Investor Splits'!$L29*W$33+IF(AND($V53="GP",'3.1 Investor Splits'!$F$14="Yes"),'3. Rent &amp; Expenses'!$I$25*W$16),
IF('3.1 Investor Splits'!$J29="GP",W$33-SUM(W54:W72)+IF('3.1 Investor Splits'!$F$14="Yes",'3. Rent &amp; Expenses'!$I$25*W$16,0),IF(W$32&lt;='3.1 Investor Splits'!$F$17,'3.1 Investor Splits'!$M29*12,0))))</f>
        <v/>
      </c>
      <c r="X53" s="140" t="str">
        <f>IF($V53="","",IF('3.1 Investor Splits'!$F$8="Yes",
'3.1 Investor Splits'!$L29*X$33+IF(AND($V53="GP",'3.1 Investor Splits'!$F$14="Yes"),'3. Rent &amp; Expenses'!$I$25*X$16),
IF('3.1 Investor Splits'!$J29="GP",X$33-SUM(X54:X72)+IF('3.1 Investor Splits'!$F$14="Yes",'3. Rent &amp; Expenses'!$I$25*X$16,0),IF(X$32&lt;='3.1 Investor Splits'!$F$17,'3.1 Investor Splits'!$M29*12,0))))</f>
        <v/>
      </c>
      <c r="Y53" s="140" t="str">
        <f>IF($V53="","",IF('3.1 Investor Splits'!$F$8="Yes",
'3.1 Investor Splits'!$L29*Y$33+IF(AND($V53="GP",'3.1 Investor Splits'!$F$14="Yes"),'3. Rent &amp; Expenses'!$I$25*Y$16),
IF('3.1 Investor Splits'!$J29="GP",Y$33-SUM(Y54:Y72)+IF('3.1 Investor Splits'!$F$14="Yes",'3. Rent &amp; Expenses'!$I$25*Y$16,0),IF(Y$32&lt;='3.1 Investor Splits'!$F$17,'3.1 Investor Splits'!$M29*12,0))))</f>
        <v/>
      </c>
      <c r="Z53" s="140" t="str">
        <f>IF($V53="","",IF('3.1 Investor Splits'!$F$8="Yes",
'3.1 Investor Splits'!$L29*Z$33+IF(AND($V53="GP",'3.1 Investor Splits'!$F$14="Yes"),'3. Rent &amp; Expenses'!$I$25*Z$16),
IF('3.1 Investor Splits'!$J29="GP",Z$33-SUM(Z54:Z72)+IF('3.1 Investor Splits'!$F$14="Yes",'3. Rent &amp; Expenses'!$I$25*Z$16,0),IF(Z$32&lt;='3.1 Investor Splits'!$F$17,'3.1 Investor Splits'!$M29*12,0))))</f>
        <v/>
      </c>
      <c r="AA53" s="140" t="str">
        <f>IF($V53="","",IF('3.1 Investor Splits'!$F$8="Yes",
'3.1 Investor Splits'!$L29*AA$33+IF(AND($V53="GP",'3.1 Investor Splits'!$F$14="Yes"),'3. Rent &amp; Expenses'!$I$25*AA$16),
IF('3.1 Investor Splits'!$J29="GP",AA$33-SUM(AA54:AA72)+IF('3.1 Investor Splits'!$F$14="Yes",'3. Rent &amp; Expenses'!$I$25*AA$16,0),IF(AA$32&lt;='3.1 Investor Splits'!$F$17,'3.1 Investor Splits'!$M29*12,0))))</f>
        <v/>
      </c>
      <c r="AB53" s="140" t="str">
        <f>IF($V53="","",IF('3.1 Investor Splits'!$F$8="Yes",
'3.1 Investor Splits'!$L29*AB$33+IF(AND($V53="GP",'3.1 Investor Splits'!$F$14="Yes"),'3. Rent &amp; Expenses'!$I$25*AB$16),
IF('3.1 Investor Splits'!$J29="GP",AB$33-SUM(AB54:AB72)+IF('3.1 Investor Splits'!$F$14="Yes",'3. Rent &amp; Expenses'!$I$25*AB$16,0),IF(AB$32&lt;='3.1 Investor Splits'!$F$17,'3.1 Investor Splits'!$M29*12,0))))</f>
        <v/>
      </c>
      <c r="AC53" s="140" t="str">
        <f>IF($V53="","",IF('3.1 Investor Splits'!$F$8="Yes",
'3.1 Investor Splits'!$L29*AC$33+IF(AND($V53="GP",'3.1 Investor Splits'!$F$14="Yes"),'3. Rent &amp; Expenses'!$I$25*AC$16),
IF('3.1 Investor Splits'!$J29="GP",AC$33-SUM(AC54:AC72)+IF('3.1 Investor Splits'!$F$14="Yes",'3. Rent &amp; Expenses'!$I$25*AC$16,0),IF(AC$32&lt;='3.1 Investor Splits'!$F$17,'3.1 Investor Splits'!$M29*12,0))))</f>
        <v/>
      </c>
      <c r="AD53" s="140" t="str">
        <f>IF($V53="","",IF('3.1 Investor Splits'!$F$8="Yes",
'3.1 Investor Splits'!$L29*AD$33+IF(AND($V53="GP",'3.1 Investor Splits'!$F$14="Yes"),'3. Rent &amp; Expenses'!$I$25*AD$16),
IF('3.1 Investor Splits'!$J29="GP",AD$33-SUM(AD54:AD72)+IF('3.1 Investor Splits'!$F$14="Yes",'3. Rent &amp; Expenses'!$I$25*AD$16,0),IF(AD$32&lt;='3.1 Investor Splits'!$F$17,'3.1 Investor Splits'!$M29*12,0))))</f>
        <v/>
      </c>
      <c r="AE53" s="140" t="str">
        <f>IF($V53="","",IF('3.1 Investor Splits'!$F$8="Yes",
'3.1 Investor Splits'!$L29*AE$33+IF(AND($V53="GP",'3.1 Investor Splits'!$F$14="Yes"),'3. Rent &amp; Expenses'!$I$25*AE$16),
IF('3.1 Investor Splits'!$J29="GP",AE$33-SUM(AE54:AE72)+IF('3.1 Investor Splits'!$F$14="Yes",'3. Rent &amp; Expenses'!$I$25*AE$16,0),IF(AE$32&lt;='3.1 Investor Splits'!$F$17,'3.1 Investor Splits'!$M29*12,0))))</f>
        <v/>
      </c>
      <c r="AF53" s="140" t="str">
        <f>IF($V53="","",IF('3.1 Investor Splits'!$F$8="Yes",
'3.1 Investor Splits'!$L29*AF$33+IF(AND($V53="GP",'3.1 Investor Splits'!$F$14="Yes"),'3. Rent &amp; Expenses'!$I$25*AF$16),
IF('3.1 Investor Splits'!$J29="GP",AF$33-SUM(AF54:AF72)+IF('3.1 Investor Splits'!$F$14="Yes",'3. Rent &amp; Expenses'!$I$25*AF$16,0),IF(AF$32&lt;='3.1 Investor Splits'!$F$17,'3.1 Investor Splits'!$M29*12,0))))</f>
        <v/>
      </c>
      <c r="AG53" s="140" t="str">
        <f>IF($V53="","",IF('3.1 Investor Splits'!$F$8="Yes",
'3.1 Investor Splits'!$L29*AG$33+IF(AND($V53="GP",'3.1 Investor Splits'!$F$14="Yes"),'3. Rent &amp; Expenses'!$I$25*AG$16),
IF('3.1 Investor Splits'!$J29="GP",AG$33-SUM(AG54:AG72)+IF('3.1 Investor Splits'!$F$14="Yes",'3. Rent &amp; Expenses'!$I$25*AG$16,0),IF(AG$32&lt;='3.1 Investor Splits'!$F$17,'3.1 Investor Splits'!$M29*12,0))))</f>
        <v/>
      </c>
      <c r="AH53" s="140" t="str">
        <f>IF($V53="","",IF('3.1 Investor Splits'!$F$8="Yes",
'3.1 Investor Splits'!$L29*AH$33+IF(AND($V53="GP",'3.1 Investor Splits'!$F$14="Yes"),'3. Rent &amp; Expenses'!$I$25*AH$16),
IF('3.1 Investor Splits'!$J29="GP",AH$33-SUM(AH54:AH72)+IF('3.1 Investor Splits'!$F$14="Yes",'3. Rent &amp; Expenses'!$I$25*AH$16,0),IF(AH$32&lt;='3.1 Investor Splits'!$F$17,'3.1 Investor Splits'!$M29*12,0))))</f>
        <v/>
      </c>
      <c r="AI53" s="140" t="str">
        <f>IF($V53="","",IF('3.1 Investor Splits'!$F$8="Yes",
'3.1 Investor Splits'!$L29*AI$33+IF(AND($V53="GP",'3.1 Investor Splits'!$F$14="Yes"),'3. Rent &amp; Expenses'!$I$25*AI$16),
IF('3.1 Investor Splits'!$J29="GP",AI$33-SUM(AI54:AI72)+IF('3.1 Investor Splits'!$F$14="Yes",'3. Rent &amp; Expenses'!$I$25*AI$16,0),IF(AI$32&lt;='3.1 Investor Splits'!$F$17,'3.1 Investor Splits'!$M29*12,0))))</f>
        <v/>
      </c>
      <c r="AJ53" s="140" t="str">
        <f>IF($V53="","",IF('3.1 Investor Splits'!$F$8="Yes",
'3.1 Investor Splits'!$L29*AJ$33+IF(AND($V53="GP",'3.1 Investor Splits'!$F$14="Yes"),'3. Rent &amp; Expenses'!$I$25*AJ$16),
IF('3.1 Investor Splits'!$J29="GP",AJ$33-SUM(AJ54:AJ72)+IF('3.1 Investor Splits'!$F$14="Yes",'3. Rent &amp; Expenses'!$I$25*AJ$16,0),IF(AJ$32&lt;='3.1 Investor Splits'!$F$17,'3.1 Investor Splits'!$M29*12,0))))</f>
        <v/>
      </c>
      <c r="AK53" s="140" t="str">
        <f>IF($V53="","",IF('3.1 Investor Splits'!$F$8="Yes",
'3.1 Investor Splits'!$L29*AK$33+IF(AND($V53="GP",'3.1 Investor Splits'!$F$14="Yes"),'3. Rent &amp; Expenses'!$I$25*AK$16),
IF('3.1 Investor Splits'!$J29="GP",AK$33-SUM(AK54:AK72)+IF('3.1 Investor Splits'!$F$14="Yes",'3. Rent &amp; Expenses'!$I$25*AK$16,0),IF(AK$32&lt;='3.1 Investor Splits'!$F$17,'3.1 Investor Splits'!$M29*12,0))))</f>
        <v/>
      </c>
      <c r="AL53" s="140" t="str">
        <f>IF($V53="","",IF('3.1 Investor Splits'!$F$8="Yes",
'3.1 Investor Splits'!$L29*AL$33+IF(AND($V53="GP",'3.1 Investor Splits'!$F$14="Yes"),'3. Rent &amp; Expenses'!$I$25*AL$16),
IF('3.1 Investor Splits'!$J29="GP",AL$33-SUM(AL54:AL72)+IF('3.1 Investor Splits'!$F$14="Yes",'3. Rent &amp; Expenses'!$I$25*AL$16,0),IF(AL$32&lt;='3.1 Investor Splits'!$F$17,'3.1 Investor Splits'!$M29*12,0))))</f>
        <v/>
      </c>
      <c r="AM53" s="140" t="str">
        <f>IF($V53="","",IF('3.1 Investor Splits'!$F$8="Yes",
'3.1 Investor Splits'!$L29*AM$33+IF(AND($V53="GP",'3.1 Investor Splits'!$F$14="Yes"),'3. Rent &amp; Expenses'!$I$25*AM$16),
IF('3.1 Investor Splits'!$J29="GP",AM$33-SUM(AM54:AM72)+IF('3.1 Investor Splits'!$F$14="Yes",'3. Rent &amp; Expenses'!$I$25*AM$16,0),IF(AM$32&lt;='3.1 Investor Splits'!$F$17,'3.1 Investor Splits'!$M29*12,0))))</f>
        <v/>
      </c>
      <c r="AN53" s="140" t="str">
        <f>IF($V53="","",IF('3.1 Investor Splits'!$F$8="Yes",
'3.1 Investor Splits'!$L29*AN$33+IF(AND($V53="GP",'3.1 Investor Splits'!$F$14="Yes"),'3. Rent &amp; Expenses'!$I$25*AN$16),
IF('3.1 Investor Splits'!$J29="GP",AN$33-SUM(AN54:AN72)+IF('3.1 Investor Splits'!$F$14="Yes",'3. Rent &amp; Expenses'!$I$25*AN$16,0),IF(AN$32&lt;='3.1 Investor Splits'!$F$17,'3.1 Investor Splits'!$M29*12,0))))</f>
        <v/>
      </c>
      <c r="AO53" s="140" t="str">
        <f>IF($V53="","",IF('3.1 Investor Splits'!$F$8="Yes",
'3.1 Investor Splits'!$L29*AO$33+IF(AND($V53="GP",'3.1 Investor Splits'!$F$14="Yes"),'3. Rent &amp; Expenses'!$I$25*AO$16),
IF('3.1 Investor Splits'!$J29="GP",AO$33-SUM(AO54:AO72)+IF('3.1 Investor Splits'!$F$14="Yes",'3. Rent &amp; Expenses'!$I$25*AO$16,0),IF(AO$32&lt;='3.1 Investor Splits'!$F$17,'3.1 Investor Splits'!$M29*12,0))))</f>
        <v/>
      </c>
      <c r="AP53" s="140" t="str">
        <f>IF($V53="","",IF('3.1 Investor Splits'!$F$8="Yes",
'3.1 Investor Splits'!$L29*AP$33+IF(AND($V53="GP",'3.1 Investor Splits'!$F$14="Yes"),'3. Rent &amp; Expenses'!$I$25*AP$16),
IF('3.1 Investor Splits'!$J29="GP",AP$33-SUM(AP54:AP72)+IF('3.1 Investor Splits'!$F$14="Yes",'3. Rent &amp; Expenses'!$I$25*AP$16,0),IF(AP$32&lt;='3.1 Investor Splits'!$F$17,'3.1 Investor Splits'!$M29*12,0))))</f>
        <v/>
      </c>
      <c r="AQ53" s="140" t="str">
        <f>IF($V53="","",IF('3.1 Investor Splits'!$F$8="Yes",
'3.1 Investor Splits'!$L29*AQ$33+IF(AND($V53="GP",'3.1 Investor Splits'!$F$14="Yes"),'3. Rent &amp; Expenses'!$I$25*AQ$16),
IF('3.1 Investor Splits'!$J29="GP",AQ$33-SUM(AQ54:AQ72)+IF('3.1 Investor Splits'!$F$14="Yes",'3. Rent &amp; Expenses'!$I$25*AQ$16,0),IF(AQ$32&lt;='3.1 Investor Splits'!$F$17,'3.1 Investor Splits'!$M29*12,0))))</f>
        <v/>
      </c>
      <c r="AR53" s="140" t="str">
        <f>IF($V53="","",IF('3.1 Investor Splits'!$F$8="Yes",
'3.1 Investor Splits'!$L29*AR$33+IF(AND($V53="GP",'3.1 Investor Splits'!$F$14="Yes"),'3. Rent &amp; Expenses'!$I$25*AR$16),
IF('3.1 Investor Splits'!$J29="GP",AR$33-SUM(AR54:AR72)+IF('3.1 Investor Splits'!$F$14="Yes",'3. Rent &amp; Expenses'!$I$25*AR$16,0),IF(AR$32&lt;='3.1 Investor Splits'!$F$17,'3.1 Investor Splits'!$M29*12,0))))</f>
        <v/>
      </c>
      <c r="AS53" s="140" t="str">
        <f>IF($V53="","",IF('3.1 Investor Splits'!$F$8="Yes",
'3.1 Investor Splits'!$L29*AS$33+IF(AND($V53="GP",'3.1 Investor Splits'!$F$14="Yes"),'3. Rent &amp; Expenses'!$I$25*AS$16),
IF('3.1 Investor Splits'!$J29="GP",AS$33-SUM(AS54:AS72)+IF('3.1 Investor Splits'!$F$14="Yes",'3. Rent &amp; Expenses'!$I$25*AS$16,0),IF(AS$32&lt;='3.1 Investor Splits'!$F$17,'3.1 Investor Splits'!$M29*12,0))))</f>
        <v/>
      </c>
      <c r="AT53" s="140" t="str">
        <f>IF($V53="","",IF('3.1 Investor Splits'!$F$8="Yes",
'3.1 Investor Splits'!$L29*AT$33+IF(AND($V53="GP",'3.1 Investor Splits'!$F$14="Yes"),'3. Rent &amp; Expenses'!$I$25*AT$16),
IF('3.1 Investor Splits'!$J29="GP",AT$33-SUM(AT54:AT72)+IF('3.1 Investor Splits'!$F$14="Yes",'3. Rent &amp; Expenses'!$I$25*AT$16,0),IF(AT$32&lt;='3.1 Investor Splits'!$F$17,'3.1 Investor Splits'!$M29*12,0))))</f>
        <v/>
      </c>
      <c r="AU53" s="140" t="str">
        <f>IF($V53="","",IF('3.1 Investor Splits'!$F$8="Yes",
'3.1 Investor Splits'!$L29*AU$33+IF(AND($V53="GP",'3.1 Investor Splits'!$F$14="Yes"),'3. Rent &amp; Expenses'!$I$25*AU$16),
IF('3.1 Investor Splits'!$J29="GP",AU$33-SUM(AU54:AU72)+IF('3.1 Investor Splits'!$F$14="Yes",'3. Rent &amp; Expenses'!$I$25*AU$16,0),IF(AU$32&lt;='3.1 Investor Splits'!$F$17,'3.1 Investor Splits'!$M29*12,0))))</f>
        <v/>
      </c>
      <c r="AV53" s="140" t="str">
        <f>IF($V53="","",IF('3.1 Investor Splits'!$F$8="Yes",
'3.1 Investor Splits'!$L29*AV$33+IF(AND($V53="GP",'3.1 Investor Splits'!$F$14="Yes"),'3. Rent &amp; Expenses'!$I$25*AV$16),
IF('3.1 Investor Splits'!$J29="GP",AV$33-SUM(AV54:AV72)+IF('3.1 Investor Splits'!$F$14="Yes",'3. Rent &amp; Expenses'!$I$25*AV$16,0),IF(AV$32&lt;='3.1 Investor Splits'!$F$17,'3.1 Investor Splits'!$M29*12,0))))</f>
        <v/>
      </c>
      <c r="AW53" s="140" t="str">
        <f>IF($V53="","",IF('3.1 Investor Splits'!$F$8="Yes",
'3.1 Investor Splits'!$L29*AW$33+IF(AND($V53="GP",'3.1 Investor Splits'!$F$14="Yes"),'3. Rent &amp; Expenses'!$I$25*AW$16),
IF('3.1 Investor Splits'!$J29="GP",AW$33-SUM(AW54:AW72)+IF('3.1 Investor Splits'!$F$14="Yes",'3. Rent &amp; Expenses'!$I$25*AW$16,0),IF(AW$32&lt;='3.1 Investor Splits'!$F$17,'3.1 Investor Splits'!$M29*12,0))))</f>
        <v/>
      </c>
      <c r="AX53" s="140" t="str">
        <f>IF($V53="","",IF('3.1 Investor Splits'!$F$8="Yes",
'3.1 Investor Splits'!$L29*AX$33+IF(AND($V53="GP",'3.1 Investor Splits'!$F$14="Yes"),'3. Rent &amp; Expenses'!$I$25*AX$16),
IF('3.1 Investor Splits'!$J29="GP",AX$33-SUM(AX54:AX72)+IF('3.1 Investor Splits'!$F$14="Yes",'3. Rent &amp; Expenses'!$I$25*AX$16,0),IF(AX$32&lt;='3.1 Investor Splits'!$F$17,'3.1 Investor Splits'!$M29*12,0))))</f>
        <v/>
      </c>
      <c r="AY53" s="140" t="str">
        <f>IF($V53="","",IF('3.1 Investor Splits'!$F$8="Yes",
'3.1 Investor Splits'!$L29*AY$33+IF(AND($V53="GP",'3.1 Investor Splits'!$F$14="Yes"),'3. Rent &amp; Expenses'!$I$25*AY$16),
IF('3.1 Investor Splits'!$J29="GP",AY$33-SUM(AY54:AY72)+IF('3.1 Investor Splits'!$F$14="Yes",'3. Rent &amp; Expenses'!$I$25*AY$16,0),IF(AY$32&lt;='3.1 Investor Splits'!$F$17,'3.1 Investor Splits'!$M29*12,0))))</f>
        <v/>
      </c>
      <c r="AZ53" s="140" t="str">
        <f>IF($V53="","",IF('3.1 Investor Splits'!$F$8="Yes",
'3.1 Investor Splits'!$L29*AZ$33+IF(AND($V53="GP",'3.1 Investor Splits'!$F$14="Yes"),'3. Rent &amp; Expenses'!$I$25*AZ$16),
IF('3.1 Investor Splits'!$J29="GP",AZ$33-SUM(AZ54:AZ72)+IF('3.1 Investor Splits'!$F$14="Yes",'3. Rent &amp; Expenses'!$I$25*AZ$16,0),IF(AZ$32&lt;='3.1 Investor Splits'!$F$17,'3.1 Investor Splits'!$M29*12,0))))</f>
        <v/>
      </c>
    </row>
    <row r="54" spans="2:52" x14ac:dyDescent="0.2">
      <c r="B54" s="19" t="s">
        <v>130</v>
      </c>
      <c r="C54" s="43">
        <f t="shared" ref="C54:L54" si="33">RATE(C43,,-$D$9,C53+$D$9)</f>
        <v>5.5789419303945417E-2</v>
      </c>
      <c r="D54" s="43">
        <f t="shared" si="33"/>
        <v>5.5152392525085116E-2</v>
      </c>
      <c r="E54" s="43">
        <f t="shared" si="33"/>
        <v>5.4532418331672862E-2</v>
      </c>
      <c r="F54" s="43">
        <f t="shared" si="33"/>
        <v>5.3929561400615056E-2</v>
      </c>
      <c r="G54" s="43">
        <f t="shared" si="33"/>
        <v>5.3343699125511776E-2</v>
      </c>
      <c r="H54" s="43">
        <f t="shared" si="33"/>
        <v>5.2774576061450452E-2</v>
      </c>
      <c r="I54" s="43">
        <f t="shared" si="33"/>
        <v>5.2221843939794489E-2</v>
      </c>
      <c r="J54" s="43">
        <f t="shared" si="33"/>
        <v>5.1685091204380834E-2</v>
      </c>
      <c r="K54" s="43">
        <f t="shared" si="33"/>
        <v>5.1163864872697383E-2</v>
      </c>
      <c r="L54" s="44">
        <f t="shared" si="33"/>
        <v>5.0657686733364807E-2</v>
      </c>
      <c r="V54" s="5" t="str">
        <f>'3.1 Investor Splits'!I30</f>
        <v/>
      </c>
      <c r="W54" s="140" t="str">
        <f>IF($V54="","",IF('3.1 Investor Splits'!$F$8="Yes",
'3.1 Investor Splits'!$L30*W$33+IF(AND($V54="GP",'3.1 Investor Splits'!$F$14="Yes"),'3. Rent &amp; Expenses'!$I$25*W$16),
IF('3.1 Investor Splits'!$J30="GP",W$33-SUM(W55:W73)+IF('3.1 Investor Splits'!$F$14="Yes",'3. Rent &amp; Expenses'!$I$25*W$16,0),IF(W$32&lt;='3.1 Investor Splits'!$F$17,'3.1 Investor Splits'!$M30*12,0))))</f>
        <v/>
      </c>
      <c r="X54" s="140" t="str">
        <f>IF($V54="","",IF('3.1 Investor Splits'!$F$8="Yes",
'3.1 Investor Splits'!$L30*X$33+IF(AND($V54="GP",'3.1 Investor Splits'!$F$14="Yes"),'3. Rent &amp; Expenses'!$I$25*X$16),
IF('3.1 Investor Splits'!$J30="GP",X$33-SUM(X55:X73)+IF('3.1 Investor Splits'!$F$14="Yes",'3. Rent &amp; Expenses'!$I$25*X$16,0),IF(X$32&lt;='3.1 Investor Splits'!$F$17,'3.1 Investor Splits'!$M30*12,0))))</f>
        <v/>
      </c>
      <c r="Y54" s="140" t="str">
        <f>IF($V54="","",IF('3.1 Investor Splits'!$F$8="Yes",
'3.1 Investor Splits'!$L30*Y$33+IF(AND($V54="GP",'3.1 Investor Splits'!$F$14="Yes"),'3. Rent &amp; Expenses'!$I$25*Y$16),
IF('3.1 Investor Splits'!$J30="GP",Y$33-SUM(Y55:Y73)+IF('3.1 Investor Splits'!$F$14="Yes",'3. Rent &amp; Expenses'!$I$25*Y$16,0),IF(Y$32&lt;='3.1 Investor Splits'!$F$17,'3.1 Investor Splits'!$M30*12,0))))</f>
        <v/>
      </c>
      <c r="Z54" s="140" t="str">
        <f>IF($V54="","",IF('3.1 Investor Splits'!$F$8="Yes",
'3.1 Investor Splits'!$L30*Z$33+IF(AND($V54="GP",'3.1 Investor Splits'!$F$14="Yes"),'3. Rent &amp; Expenses'!$I$25*Z$16),
IF('3.1 Investor Splits'!$J30="GP",Z$33-SUM(Z55:Z73)+IF('3.1 Investor Splits'!$F$14="Yes",'3. Rent &amp; Expenses'!$I$25*Z$16,0),IF(Z$32&lt;='3.1 Investor Splits'!$F$17,'3.1 Investor Splits'!$M30*12,0))))</f>
        <v/>
      </c>
      <c r="AA54" s="140" t="str">
        <f>IF($V54="","",IF('3.1 Investor Splits'!$F$8="Yes",
'3.1 Investor Splits'!$L30*AA$33+IF(AND($V54="GP",'3.1 Investor Splits'!$F$14="Yes"),'3. Rent &amp; Expenses'!$I$25*AA$16),
IF('3.1 Investor Splits'!$J30="GP",AA$33-SUM(AA55:AA73)+IF('3.1 Investor Splits'!$F$14="Yes",'3. Rent &amp; Expenses'!$I$25*AA$16,0),IF(AA$32&lt;='3.1 Investor Splits'!$F$17,'3.1 Investor Splits'!$M30*12,0))))</f>
        <v/>
      </c>
      <c r="AB54" s="140" t="str">
        <f>IF($V54="","",IF('3.1 Investor Splits'!$F$8="Yes",
'3.1 Investor Splits'!$L30*AB$33+IF(AND($V54="GP",'3.1 Investor Splits'!$F$14="Yes"),'3. Rent &amp; Expenses'!$I$25*AB$16),
IF('3.1 Investor Splits'!$J30="GP",AB$33-SUM(AB55:AB73)+IF('3.1 Investor Splits'!$F$14="Yes",'3. Rent &amp; Expenses'!$I$25*AB$16,0),IF(AB$32&lt;='3.1 Investor Splits'!$F$17,'3.1 Investor Splits'!$M30*12,0))))</f>
        <v/>
      </c>
      <c r="AC54" s="140" t="str">
        <f>IF($V54="","",IF('3.1 Investor Splits'!$F$8="Yes",
'3.1 Investor Splits'!$L30*AC$33+IF(AND($V54="GP",'3.1 Investor Splits'!$F$14="Yes"),'3. Rent &amp; Expenses'!$I$25*AC$16),
IF('3.1 Investor Splits'!$J30="GP",AC$33-SUM(AC55:AC73)+IF('3.1 Investor Splits'!$F$14="Yes",'3. Rent &amp; Expenses'!$I$25*AC$16,0),IF(AC$32&lt;='3.1 Investor Splits'!$F$17,'3.1 Investor Splits'!$M30*12,0))))</f>
        <v/>
      </c>
      <c r="AD54" s="140" t="str">
        <f>IF($V54="","",IF('3.1 Investor Splits'!$F$8="Yes",
'3.1 Investor Splits'!$L30*AD$33+IF(AND($V54="GP",'3.1 Investor Splits'!$F$14="Yes"),'3. Rent &amp; Expenses'!$I$25*AD$16),
IF('3.1 Investor Splits'!$J30="GP",AD$33-SUM(AD55:AD73)+IF('3.1 Investor Splits'!$F$14="Yes",'3. Rent &amp; Expenses'!$I$25*AD$16,0),IF(AD$32&lt;='3.1 Investor Splits'!$F$17,'3.1 Investor Splits'!$M30*12,0))))</f>
        <v/>
      </c>
      <c r="AE54" s="140" t="str">
        <f>IF($V54="","",IF('3.1 Investor Splits'!$F$8="Yes",
'3.1 Investor Splits'!$L30*AE$33+IF(AND($V54="GP",'3.1 Investor Splits'!$F$14="Yes"),'3. Rent &amp; Expenses'!$I$25*AE$16),
IF('3.1 Investor Splits'!$J30="GP",AE$33-SUM(AE55:AE73)+IF('3.1 Investor Splits'!$F$14="Yes",'3. Rent &amp; Expenses'!$I$25*AE$16,0),IF(AE$32&lt;='3.1 Investor Splits'!$F$17,'3.1 Investor Splits'!$M30*12,0))))</f>
        <v/>
      </c>
      <c r="AF54" s="140" t="str">
        <f>IF($V54="","",IF('3.1 Investor Splits'!$F$8="Yes",
'3.1 Investor Splits'!$L30*AF$33+IF(AND($V54="GP",'3.1 Investor Splits'!$F$14="Yes"),'3. Rent &amp; Expenses'!$I$25*AF$16),
IF('3.1 Investor Splits'!$J30="GP",AF$33-SUM(AF55:AF73)+IF('3.1 Investor Splits'!$F$14="Yes",'3. Rent &amp; Expenses'!$I$25*AF$16,0),IF(AF$32&lt;='3.1 Investor Splits'!$F$17,'3.1 Investor Splits'!$M30*12,0))))</f>
        <v/>
      </c>
      <c r="AG54" s="140" t="str">
        <f>IF($V54="","",IF('3.1 Investor Splits'!$F$8="Yes",
'3.1 Investor Splits'!$L30*AG$33+IF(AND($V54="GP",'3.1 Investor Splits'!$F$14="Yes"),'3. Rent &amp; Expenses'!$I$25*AG$16),
IF('3.1 Investor Splits'!$J30="GP",AG$33-SUM(AG55:AG73)+IF('3.1 Investor Splits'!$F$14="Yes",'3. Rent &amp; Expenses'!$I$25*AG$16,0),IF(AG$32&lt;='3.1 Investor Splits'!$F$17,'3.1 Investor Splits'!$M30*12,0))))</f>
        <v/>
      </c>
      <c r="AH54" s="140" t="str">
        <f>IF($V54="","",IF('3.1 Investor Splits'!$F$8="Yes",
'3.1 Investor Splits'!$L30*AH$33+IF(AND($V54="GP",'3.1 Investor Splits'!$F$14="Yes"),'3. Rent &amp; Expenses'!$I$25*AH$16),
IF('3.1 Investor Splits'!$J30="GP",AH$33-SUM(AH55:AH73)+IF('3.1 Investor Splits'!$F$14="Yes",'3. Rent &amp; Expenses'!$I$25*AH$16,0),IF(AH$32&lt;='3.1 Investor Splits'!$F$17,'3.1 Investor Splits'!$M30*12,0))))</f>
        <v/>
      </c>
      <c r="AI54" s="140" t="str">
        <f>IF($V54="","",IF('3.1 Investor Splits'!$F$8="Yes",
'3.1 Investor Splits'!$L30*AI$33+IF(AND($V54="GP",'3.1 Investor Splits'!$F$14="Yes"),'3. Rent &amp; Expenses'!$I$25*AI$16),
IF('3.1 Investor Splits'!$J30="GP",AI$33-SUM(AI55:AI73)+IF('3.1 Investor Splits'!$F$14="Yes",'3. Rent &amp; Expenses'!$I$25*AI$16,0),IF(AI$32&lt;='3.1 Investor Splits'!$F$17,'3.1 Investor Splits'!$M30*12,0))))</f>
        <v/>
      </c>
      <c r="AJ54" s="140" t="str">
        <f>IF($V54="","",IF('3.1 Investor Splits'!$F$8="Yes",
'3.1 Investor Splits'!$L30*AJ$33+IF(AND($V54="GP",'3.1 Investor Splits'!$F$14="Yes"),'3. Rent &amp; Expenses'!$I$25*AJ$16),
IF('3.1 Investor Splits'!$J30="GP",AJ$33-SUM(AJ55:AJ73)+IF('3.1 Investor Splits'!$F$14="Yes",'3. Rent &amp; Expenses'!$I$25*AJ$16,0),IF(AJ$32&lt;='3.1 Investor Splits'!$F$17,'3.1 Investor Splits'!$M30*12,0))))</f>
        <v/>
      </c>
      <c r="AK54" s="140" t="str">
        <f>IF($V54="","",IF('3.1 Investor Splits'!$F$8="Yes",
'3.1 Investor Splits'!$L30*AK$33+IF(AND($V54="GP",'3.1 Investor Splits'!$F$14="Yes"),'3. Rent &amp; Expenses'!$I$25*AK$16),
IF('3.1 Investor Splits'!$J30="GP",AK$33-SUM(AK55:AK73)+IF('3.1 Investor Splits'!$F$14="Yes",'3. Rent &amp; Expenses'!$I$25*AK$16,0),IF(AK$32&lt;='3.1 Investor Splits'!$F$17,'3.1 Investor Splits'!$M30*12,0))))</f>
        <v/>
      </c>
      <c r="AL54" s="140" t="str">
        <f>IF($V54="","",IF('3.1 Investor Splits'!$F$8="Yes",
'3.1 Investor Splits'!$L30*AL$33+IF(AND($V54="GP",'3.1 Investor Splits'!$F$14="Yes"),'3. Rent &amp; Expenses'!$I$25*AL$16),
IF('3.1 Investor Splits'!$J30="GP",AL$33-SUM(AL55:AL73)+IF('3.1 Investor Splits'!$F$14="Yes",'3. Rent &amp; Expenses'!$I$25*AL$16,0),IF(AL$32&lt;='3.1 Investor Splits'!$F$17,'3.1 Investor Splits'!$M30*12,0))))</f>
        <v/>
      </c>
      <c r="AM54" s="140" t="str">
        <f>IF($V54="","",IF('3.1 Investor Splits'!$F$8="Yes",
'3.1 Investor Splits'!$L30*AM$33+IF(AND($V54="GP",'3.1 Investor Splits'!$F$14="Yes"),'3. Rent &amp; Expenses'!$I$25*AM$16),
IF('3.1 Investor Splits'!$J30="GP",AM$33-SUM(AM55:AM73)+IF('3.1 Investor Splits'!$F$14="Yes",'3. Rent &amp; Expenses'!$I$25*AM$16,0),IF(AM$32&lt;='3.1 Investor Splits'!$F$17,'3.1 Investor Splits'!$M30*12,0))))</f>
        <v/>
      </c>
      <c r="AN54" s="140" t="str">
        <f>IF($V54="","",IF('3.1 Investor Splits'!$F$8="Yes",
'3.1 Investor Splits'!$L30*AN$33+IF(AND($V54="GP",'3.1 Investor Splits'!$F$14="Yes"),'3. Rent &amp; Expenses'!$I$25*AN$16),
IF('3.1 Investor Splits'!$J30="GP",AN$33-SUM(AN55:AN73)+IF('3.1 Investor Splits'!$F$14="Yes",'3. Rent &amp; Expenses'!$I$25*AN$16,0),IF(AN$32&lt;='3.1 Investor Splits'!$F$17,'3.1 Investor Splits'!$M30*12,0))))</f>
        <v/>
      </c>
      <c r="AO54" s="140" t="str">
        <f>IF($V54="","",IF('3.1 Investor Splits'!$F$8="Yes",
'3.1 Investor Splits'!$L30*AO$33+IF(AND($V54="GP",'3.1 Investor Splits'!$F$14="Yes"),'3. Rent &amp; Expenses'!$I$25*AO$16),
IF('3.1 Investor Splits'!$J30="GP",AO$33-SUM(AO55:AO73)+IF('3.1 Investor Splits'!$F$14="Yes",'3. Rent &amp; Expenses'!$I$25*AO$16,0),IF(AO$32&lt;='3.1 Investor Splits'!$F$17,'3.1 Investor Splits'!$M30*12,0))))</f>
        <v/>
      </c>
      <c r="AP54" s="140" t="str">
        <f>IF($V54="","",IF('3.1 Investor Splits'!$F$8="Yes",
'3.1 Investor Splits'!$L30*AP$33+IF(AND($V54="GP",'3.1 Investor Splits'!$F$14="Yes"),'3. Rent &amp; Expenses'!$I$25*AP$16),
IF('3.1 Investor Splits'!$J30="GP",AP$33-SUM(AP55:AP73)+IF('3.1 Investor Splits'!$F$14="Yes",'3. Rent &amp; Expenses'!$I$25*AP$16,0),IF(AP$32&lt;='3.1 Investor Splits'!$F$17,'3.1 Investor Splits'!$M30*12,0))))</f>
        <v/>
      </c>
      <c r="AQ54" s="140" t="str">
        <f>IF($V54="","",IF('3.1 Investor Splits'!$F$8="Yes",
'3.1 Investor Splits'!$L30*AQ$33+IF(AND($V54="GP",'3.1 Investor Splits'!$F$14="Yes"),'3. Rent &amp; Expenses'!$I$25*AQ$16),
IF('3.1 Investor Splits'!$J30="GP",AQ$33-SUM(AQ55:AQ73)+IF('3.1 Investor Splits'!$F$14="Yes",'3. Rent &amp; Expenses'!$I$25*AQ$16,0),IF(AQ$32&lt;='3.1 Investor Splits'!$F$17,'3.1 Investor Splits'!$M30*12,0))))</f>
        <v/>
      </c>
      <c r="AR54" s="140" t="str">
        <f>IF($V54="","",IF('3.1 Investor Splits'!$F$8="Yes",
'3.1 Investor Splits'!$L30*AR$33+IF(AND($V54="GP",'3.1 Investor Splits'!$F$14="Yes"),'3. Rent &amp; Expenses'!$I$25*AR$16),
IF('3.1 Investor Splits'!$J30="GP",AR$33-SUM(AR55:AR73)+IF('3.1 Investor Splits'!$F$14="Yes",'3. Rent &amp; Expenses'!$I$25*AR$16,0),IF(AR$32&lt;='3.1 Investor Splits'!$F$17,'3.1 Investor Splits'!$M30*12,0))))</f>
        <v/>
      </c>
      <c r="AS54" s="140" t="str">
        <f>IF($V54="","",IF('3.1 Investor Splits'!$F$8="Yes",
'3.1 Investor Splits'!$L30*AS$33+IF(AND($V54="GP",'3.1 Investor Splits'!$F$14="Yes"),'3. Rent &amp; Expenses'!$I$25*AS$16),
IF('3.1 Investor Splits'!$J30="GP",AS$33-SUM(AS55:AS73)+IF('3.1 Investor Splits'!$F$14="Yes",'3. Rent &amp; Expenses'!$I$25*AS$16,0),IF(AS$32&lt;='3.1 Investor Splits'!$F$17,'3.1 Investor Splits'!$M30*12,0))))</f>
        <v/>
      </c>
      <c r="AT54" s="140" t="str">
        <f>IF($V54="","",IF('3.1 Investor Splits'!$F$8="Yes",
'3.1 Investor Splits'!$L30*AT$33+IF(AND($V54="GP",'3.1 Investor Splits'!$F$14="Yes"),'3. Rent &amp; Expenses'!$I$25*AT$16),
IF('3.1 Investor Splits'!$J30="GP",AT$33-SUM(AT55:AT73)+IF('3.1 Investor Splits'!$F$14="Yes",'3. Rent &amp; Expenses'!$I$25*AT$16,0),IF(AT$32&lt;='3.1 Investor Splits'!$F$17,'3.1 Investor Splits'!$M30*12,0))))</f>
        <v/>
      </c>
      <c r="AU54" s="140" t="str">
        <f>IF($V54="","",IF('3.1 Investor Splits'!$F$8="Yes",
'3.1 Investor Splits'!$L30*AU$33+IF(AND($V54="GP",'3.1 Investor Splits'!$F$14="Yes"),'3. Rent &amp; Expenses'!$I$25*AU$16),
IF('3.1 Investor Splits'!$J30="GP",AU$33-SUM(AU55:AU73)+IF('3.1 Investor Splits'!$F$14="Yes",'3. Rent &amp; Expenses'!$I$25*AU$16,0),IF(AU$32&lt;='3.1 Investor Splits'!$F$17,'3.1 Investor Splits'!$M30*12,0))))</f>
        <v/>
      </c>
      <c r="AV54" s="140" t="str">
        <f>IF($V54="","",IF('3.1 Investor Splits'!$F$8="Yes",
'3.1 Investor Splits'!$L30*AV$33+IF(AND($V54="GP",'3.1 Investor Splits'!$F$14="Yes"),'3. Rent &amp; Expenses'!$I$25*AV$16),
IF('3.1 Investor Splits'!$J30="GP",AV$33-SUM(AV55:AV73)+IF('3.1 Investor Splits'!$F$14="Yes",'3. Rent &amp; Expenses'!$I$25*AV$16,0),IF(AV$32&lt;='3.1 Investor Splits'!$F$17,'3.1 Investor Splits'!$M30*12,0))))</f>
        <v/>
      </c>
      <c r="AW54" s="140" t="str">
        <f>IF($V54="","",IF('3.1 Investor Splits'!$F$8="Yes",
'3.1 Investor Splits'!$L30*AW$33+IF(AND($V54="GP",'3.1 Investor Splits'!$F$14="Yes"),'3. Rent &amp; Expenses'!$I$25*AW$16),
IF('3.1 Investor Splits'!$J30="GP",AW$33-SUM(AW55:AW73)+IF('3.1 Investor Splits'!$F$14="Yes",'3. Rent &amp; Expenses'!$I$25*AW$16,0),IF(AW$32&lt;='3.1 Investor Splits'!$F$17,'3.1 Investor Splits'!$M30*12,0))))</f>
        <v/>
      </c>
      <c r="AX54" s="140" t="str">
        <f>IF($V54="","",IF('3.1 Investor Splits'!$F$8="Yes",
'3.1 Investor Splits'!$L30*AX$33+IF(AND($V54="GP",'3.1 Investor Splits'!$F$14="Yes"),'3. Rent &amp; Expenses'!$I$25*AX$16),
IF('3.1 Investor Splits'!$J30="GP",AX$33-SUM(AX55:AX73)+IF('3.1 Investor Splits'!$F$14="Yes",'3. Rent &amp; Expenses'!$I$25*AX$16,0),IF(AX$32&lt;='3.1 Investor Splits'!$F$17,'3.1 Investor Splits'!$M30*12,0))))</f>
        <v/>
      </c>
      <c r="AY54" s="140" t="str">
        <f>IF($V54="","",IF('3.1 Investor Splits'!$F$8="Yes",
'3.1 Investor Splits'!$L30*AY$33+IF(AND($V54="GP",'3.1 Investor Splits'!$F$14="Yes"),'3. Rent &amp; Expenses'!$I$25*AY$16),
IF('3.1 Investor Splits'!$J30="GP",AY$33-SUM(AY55:AY73)+IF('3.1 Investor Splits'!$F$14="Yes",'3. Rent &amp; Expenses'!$I$25*AY$16,0),IF(AY$32&lt;='3.1 Investor Splits'!$F$17,'3.1 Investor Splits'!$M30*12,0))))</f>
        <v/>
      </c>
      <c r="AZ54" s="140" t="str">
        <f>IF($V54="","",IF('3.1 Investor Splits'!$F$8="Yes",
'3.1 Investor Splits'!$L30*AZ$33+IF(AND($V54="GP",'3.1 Investor Splits'!$F$14="Yes"),'3. Rent &amp; Expenses'!$I$25*AZ$16),
IF('3.1 Investor Splits'!$J30="GP",AZ$33-SUM(AZ55:AZ73)+IF('3.1 Investor Splits'!$F$14="Yes",'3. Rent &amp; Expenses'!$I$25*AZ$16,0),IF(AZ$32&lt;='3.1 Investor Splits'!$F$17,'3.1 Investor Splits'!$M30*12,0))))</f>
        <v/>
      </c>
    </row>
    <row r="55" spans="2:52" x14ac:dyDescent="0.2">
      <c r="B55" s="28"/>
      <c r="C55" s="16"/>
      <c r="D55" s="17"/>
      <c r="E55" s="17"/>
      <c r="F55" s="17"/>
      <c r="G55" s="17"/>
      <c r="H55" s="17"/>
      <c r="I55" s="17"/>
      <c r="J55" s="17"/>
      <c r="K55" s="17"/>
      <c r="L55" s="31"/>
      <c r="W55" s="296">
        <f>W33-(SUM(-W$16*'3. Rent &amp; Expenses'!$I$25,'Pro Forma'!W35:W54))</f>
        <v>840</v>
      </c>
      <c r="X55" s="296">
        <f>X33-(SUM(-X$16*'3. Rent &amp; Expenses'!$I$25,'Pro Forma'!X35:X54))</f>
        <v>856.80000000000018</v>
      </c>
      <c r="Y55" s="296">
        <f>Y33-(SUM(-Y$16*'3. Rent &amp; Expenses'!$I$25,'Pro Forma'!Y35:Y54))</f>
        <v>873.93599999999969</v>
      </c>
      <c r="Z55" s="296">
        <f>Z33-(SUM(-Z$16*'3. Rent &amp; Expenses'!$I$25,'Pro Forma'!Z35:Z54))</f>
        <v>891.41471999999976</v>
      </c>
      <c r="AA55" s="296">
        <f>AA33-(SUM(-AA$16*'3. Rent &amp; Expenses'!$I$25,'Pro Forma'!AA35:AA54))</f>
        <v>909.24301439999999</v>
      </c>
      <c r="AB55" s="296">
        <f>AB33-(SUM(-AB$16*'3. Rent &amp; Expenses'!$I$25,'Pro Forma'!AB35:AB54))</f>
        <v>927.42787468799997</v>
      </c>
      <c r="AC55" s="296">
        <f>AC33-(SUM(-AC$16*'3. Rent &amp; Expenses'!$I$25,'Pro Forma'!AC35:AC54))</f>
        <v>945.97643218176108</v>
      </c>
      <c r="AD55" s="296">
        <f>AD33-(SUM(-AD$16*'3. Rent &amp; Expenses'!$I$25,'Pro Forma'!AD35:AD54))</f>
        <v>964.89596082539538</v>
      </c>
      <c r="AE55" s="296">
        <f>AE33-(SUM(-AE$16*'3. Rent &amp; Expenses'!$I$25,'Pro Forma'!AE35:AE54))</f>
        <v>984.19388004190296</v>
      </c>
      <c r="AF55" s="296">
        <f>AF33-(SUM(-AF$16*'3. Rent &amp; Expenses'!$I$25,'Pro Forma'!AF35:AF54))</f>
        <v>1003.877757642741</v>
      </c>
      <c r="AG55" s="296">
        <f>AG33-(SUM(-AG$16*'3. Rent &amp; Expenses'!$I$25,'Pro Forma'!AG35:AG54))</f>
        <v>1023.955312795596</v>
      </c>
      <c r="AH55" s="296">
        <f>AH33-(SUM(-AH$16*'3. Rent &amp; Expenses'!$I$25,'Pro Forma'!AH35:AH54))</f>
        <v>1044.4344190515085</v>
      </c>
      <c r="AI55" s="296">
        <f>AI33-(SUM(-AI$16*'3. Rent &amp; Expenses'!$I$25,'Pro Forma'!AI35:AI54))</f>
        <v>1065.3231074325395</v>
      </c>
      <c r="AJ55" s="296">
        <f>AJ33-(SUM(-AJ$16*'3. Rent &amp; Expenses'!$I$25,'Pro Forma'!AJ35:AJ54))</f>
        <v>1086.6295695811896</v>
      </c>
      <c r="AK55" s="296">
        <f>AK33-(SUM(-AK$16*'3. Rent &amp; Expenses'!$I$25,'Pro Forma'!AK35:AK54))</f>
        <v>1108.3621609728134</v>
      </c>
      <c r="AL55" s="296">
        <f>AL33-(SUM(-AL$16*'3. Rent &amp; Expenses'!$I$25,'Pro Forma'!AL35:AL54))</f>
        <v>1130.5294041922689</v>
      </c>
      <c r="AM55" s="296">
        <f>AM33-(SUM(-AM$16*'3. Rent &amp; Expenses'!$I$25,'Pro Forma'!AM35:AM54))</f>
        <v>1153.1399922761148</v>
      </c>
      <c r="AN55" s="296">
        <f>AN33-(SUM(-AN$16*'3. Rent &amp; Expenses'!$I$25,'Pro Forma'!AN35:AN54))</f>
        <v>1176.2027921216368</v>
      </c>
      <c r="AO55" s="296">
        <f>AO33-(SUM(-AO$16*'3. Rent &amp; Expenses'!$I$25,'Pro Forma'!AO35:AO54))</f>
        <v>1199.7268479640697</v>
      </c>
      <c r="AP55" s="296">
        <f>AP33-(SUM(-AP$16*'3. Rent &amp; Expenses'!$I$25,'Pro Forma'!AP35:AP54))</f>
        <v>1223.7213849233513</v>
      </c>
      <c r="AQ55" s="296">
        <f>AQ33-(SUM(-AQ$16*'3. Rent &amp; Expenses'!$I$25,'Pro Forma'!AQ35:AQ54))</f>
        <v>1248.1958126218187</v>
      </c>
      <c r="AR55" s="296">
        <f>AR33-(SUM(-AR$16*'3. Rent &amp; Expenses'!$I$25,'Pro Forma'!AR35:AR54))</f>
        <v>1273.1597288742541</v>
      </c>
      <c r="AS55" s="296">
        <f>AS33-(SUM(-AS$16*'3. Rent &amp; Expenses'!$I$25,'Pro Forma'!AS35:AS54))</f>
        <v>1298.6229234517396</v>
      </c>
      <c r="AT55" s="296">
        <f>AT33-(SUM(-AT$16*'3. Rent &amp; Expenses'!$I$25,'Pro Forma'!AT35:AT54))</f>
        <v>1324.5953819207743</v>
      </c>
      <c r="AU55" s="296">
        <f>AU33-(SUM(-AU$16*'3. Rent &amp; Expenses'!$I$25,'Pro Forma'!AU35:AU54))</f>
        <v>1351.0872895591892</v>
      </c>
      <c r="AV55" s="296">
        <f>AV33-(SUM(-AV$16*'3. Rent &amp; Expenses'!$I$25,'Pro Forma'!AV35:AV54))</f>
        <v>1378.1090353503732</v>
      </c>
      <c r="AW55" s="296">
        <f>AW33-(SUM(-AW$16*'3. Rent &amp; Expenses'!$I$25,'Pro Forma'!AW35:AW54))</f>
        <v>1405.6712160573807</v>
      </c>
      <c r="AX55" s="296">
        <f>AX33-(SUM(-AX$16*'3. Rent &amp; Expenses'!$I$25,'Pro Forma'!AX35:AX54))</f>
        <v>1433.7846403785279</v>
      </c>
      <c r="AY55" s="296">
        <f>AY33-(SUM(-AY$16*'3. Rent &amp; Expenses'!$I$25,'Pro Forma'!AY35:AY54))</f>
        <v>1462.4603331860999</v>
      </c>
      <c r="AZ55" s="296">
        <f>AZ33-(SUM(-AZ$16*'3. Rent &amp; Expenses'!$I$25,'Pro Forma'!AZ35:AZ54))</f>
        <v>1491.7095398498204</v>
      </c>
    </row>
    <row r="56" spans="2:52" x14ac:dyDescent="0.2">
      <c r="B56" s="28"/>
      <c r="C56" s="16"/>
      <c r="D56" s="17"/>
      <c r="E56" s="17"/>
      <c r="F56" s="17"/>
      <c r="G56" s="17"/>
      <c r="H56" s="17"/>
      <c r="I56" s="17"/>
      <c r="J56" s="17"/>
      <c r="K56" s="17"/>
      <c r="L56" s="31"/>
      <c r="W56" s="10"/>
    </row>
    <row r="57" spans="2:52" x14ac:dyDescent="0.2">
      <c r="B57" s="28"/>
      <c r="C57" s="16"/>
      <c r="D57" s="17"/>
      <c r="E57" s="17"/>
      <c r="F57" s="17"/>
      <c r="G57" s="17"/>
      <c r="H57" s="17"/>
      <c r="I57" s="17"/>
      <c r="J57" s="17"/>
      <c r="K57" s="17"/>
      <c r="L57" s="31"/>
    </row>
    <row r="58" spans="2:52" x14ac:dyDescent="0.2">
      <c r="B58" s="28"/>
      <c r="C58" s="16"/>
      <c r="D58" s="17"/>
      <c r="E58" s="17"/>
      <c r="F58" s="17"/>
      <c r="G58" s="17"/>
      <c r="H58" s="17"/>
      <c r="I58" s="17"/>
      <c r="J58" s="17"/>
      <c r="K58" s="17"/>
      <c r="L58" s="31"/>
      <c r="V58" s="313">
        <v>0.03</v>
      </c>
    </row>
    <row r="59" spans="2:52" x14ac:dyDescent="0.2">
      <c r="B59" s="28"/>
      <c r="C59" s="16"/>
      <c r="D59" s="17"/>
      <c r="E59" s="17"/>
      <c r="F59" s="17"/>
      <c r="G59" s="17"/>
      <c r="H59" s="17"/>
      <c r="I59" s="17"/>
      <c r="J59" s="17"/>
      <c r="K59" s="17"/>
      <c r="L59" s="31"/>
      <c r="W59" s="312">
        <f>+PV($V$58,COLUMN(W32)-COLUMN($V$32),,-W36)</f>
        <v>4065.4368932038828</v>
      </c>
      <c r="X59" s="312">
        <f t="shared" ref="X59:AZ59" si="34">W59+PV($V$58,COLUMN(X32)-COLUMN($V$32),,-X36)</f>
        <v>8091.4035253087004</v>
      </c>
      <c r="Y59" s="312">
        <f t="shared" si="34"/>
        <v>12078.283102732888</v>
      </c>
      <c r="Z59" s="312">
        <f t="shared" si="34"/>
        <v>16026.45511144422</v>
      </c>
      <c r="AA59" s="312">
        <f t="shared" si="34"/>
        <v>19936.295353080684</v>
      </c>
      <c r="AB59" s="312">
        <f t="shared" si="34"/>
        <v>23808.175980720676</v>
      </c>
      <c r="AC59" s="312">
        <f t="shared" si="34"/>
        <v>27642.465534305913</v>
      </c>
      <c r="AD59" s="312">
        <f t="shared" si="34"/>
        <v>31439.528975720419</v>
      </c>
      <c r="AE59" s="312">
        <f t="shared" si="34"/>
        <v>35199.727723528958</v>
      </c>
      <c r="AF59" s="312">
        <f t="shared" si="34"/>
        <v>38923.419687378191</v>
      </c>
      <c r="AG59" s="312">
        <f t="shared" si="34"/>
        <v>42610.959302063842</v>
      </c>
      <c r="AH59" s="312">
        <f t="shared" si="34"/>
        <v>46262.697561267109</v>
      </c>
      <c r="AI59" s="312">
        <f t="shared" si="34"/>
        <v>49878.982050963546</v>
      </c>
      <c r="AJ59" s="312">
        <f t="shared" si="34"/>
        <v>53460.156982507586</v>
      </c>
      <c r="AK59" s="312">
        <f t="shared" si="34"/>
        <v>57006.563225395861</v>
      </c>
      <c r="AL59" s="312">
        <f t="shared" si="34"/>
        <v>60518.53833971241</v>
      </c>
      <c r="AM59" s="312">
        <f t="shared" si="34"/>
        <v>63996.416608258893</v>
      </c>
      <c r="AN59" s="312">
        <f t="shared" si="34"/>
        <v>67440.529068372882</v>
      </c>
      <c r="AO59" s="312">
        <f t="shared" si="34"/>
        <v>70851.203543437223</v>
      </c>
      <c r="AP59" s="312">
        <f t="shared" si="34"/>
        <v>74228.764674083461</v>
      </c>
      <c r="AQ59" s="312">
        <f t="shared" si="34"/>
        <v>77573.533949092365</v>
      </c>
      <c r="AR59" s="312">
        <f t="shared" si="34"/>
        <v>80885.829735994383</v>
      </c>
      <c r="AS59" s="312">
        <f t="shared" si="34"/>
        <v>84165.967311373082</v>
      </c>
      <c r="AT59" s="312">
        <f t="shared" si="34"/>
        <v>87414.25889087432</v>
      </c>
      <c r="AU59" s="312">
        <f t="shared" si="34"/>
        <v>90631.013658924086</v>
      </c>
      <c r="AV59" s="312">
        <f t="shared" si="34"/>
        <v>93816.537798157835</v>
      </c>
      <c r="AW59" s="312">
        <f t="shared" si="34"/>
        <v>96971.134518564068</v>
      </c>
      <c r="AX59" s="312">
        <f t="shared" si="34"/>
        <v>100095.104086345</v>
      </c>
      <c r="AY59" s="312">
        <f t="shared" si="34"/>
        <v>103188.74385249699</v>
      </c>
      <c r="AZ59" s="312">
        <f t="shared" si="34"/>
        <v>106252.34828111353</v>
      </c>
    </row>
    <row r="60" spans="2:52" x14ac:dyDescent="0.2">
      <c r="B60" s="28"/>
      <c r="C60" s="16"/>
      <c r="D60" s="17"/>
      <c r="E60" s="17"/>
      <c r="F60" s="17"/>
      <c r="G60" s="17"/>
      <c r="H60" s="17"/>
      <c r="I60" s="17"/>
      <c r="J60" s="17"/>
      <c r="K60" s="17"/>
      <c r="L60" s="31"/>
      <c r="W60" s="312">
        <f>-332000+W59</f>
        <v>-327934.56310679612</v>
      </c>
      <c r="X60" s="312">
        <f t="shared" ref="X60:AZ60" si="35">-332000+X59</f>
        <v>-323908.59647469129</v>
      </c>
      <c r="Y60" s="312">
        <f t="shared" si="35"/>
        <v>-319921.71689726709</v>
      </c>
      <c r="Z60" s="312">
        <f t="shared" si="35"/>
        <v>-315973.54488855577</v>
      </c>
      <c r="AA60" s="312">
        <f t="shared" si="35"/>
        <v>-312063.70464691933</v>
      </c>
      <c r="AB60" s="312">
        <f t="shared" si="35"/>
        <v>-308191.82401927933</v>
      </c>
      <c r="AC60" s="312">
        <f t="shared" si="35"/>
        <v>-304357.5344656941</v>
      </c>
      <c r="AD60" s="312">
        <f t="shared" si="35"/>
        <v>-300560.4710242796</v>
      </c>
      <c r="AE60" s="312">
        <f t="shared" si="35"/>
        <v>-296800.27227647102</v>
      </c>
      <c r="AF60" s="312">
        <f t="shared" si="35"/>
        <v>-293076.58031262178</v>
      </c>
      <c r="AG60" s="312">
        <f t="shared" si="35"/>
        <v>-289389.04069793614</v>
      </c>
      <c r="AH60" s="312">
        <f t="shared" si="35"/>
        <v>-285737.30243873288</v>
      </c>
      <c r="AI60" s="312">
        <f t="shared" si="35"/>
        <v>-282121.01794903644</v>
      </c>
      <c r="AJ60" s="312">
        <f t="shared" si="35"/>
        <v>-278539.84301749244</v>
      </c>
      <c r="AK60" s="312">
        <f t="shared" si="35"/>
        <v>-274993.43677460414</v>
      </c>
      <c r="AL60" s="312">
        <f t="shared" si="35"/>
        <v>-271481.46166028758</v>
      </c>
      <c r="AM60" s="312">
        <f t="shared" si="35"/>
        <v>-268003.58339174109</v>
      </c>
      <c r="AN60" s="312">
        <f t="shared" si="35"/>
        <v>-264559.47093162709</v>
      </c>
      <c r="AO60" s="312">
        <f t="shared" si="35"/>
        <v>-261148.79645656276</v>
      </c>
      <c r="AP60" s="312">
        <f t="shared" si="35"/>
        <v>-257771.23532591655</v>
      </c>
      <c r="AQ60" s="312">
        <f t="shared" si="35"/>
        <v>-254426.46605090762</v>
      </c>
      <c r="AR60" s="312">
        <f t="shared" si="35"/>
        <v>-251114.1702640056</v>
      </c>
      <c r="AS60" s="312">
        <f t="shared" si="35"/>
        <v>-247834.0326886269</v>
      </c>
      <c r="AT60" s="312">
        <f t="shared" si="35"/>
        <v>-244585.74110912567</v>
      </c>
      <c r="AU60" s="312">
        <f t="shared" si="35"/>
        <v>-241368.98634107591</v>
      </c>
      <c r="AV60" s="312">
        <f t="shared" si="35"/>
        <v>-238183.46220184217</v>
      </c>
      <c r="AW60" s="312">
        <f t="shared" si="35"/>
        <v>-235028.86548143593</v>
      </c>
      <c r="AX60" s="312">
        <f t="shared" si="35"/>
        <v>-231904.895913655</v>
      </c>
      <c r="AY60" s="312">
        <f t="shared" si="35"/>
        <v>-228811.25614750301</v>
      </c>
      <c r="AZ60" s="312">
        <f t="shared" si="35"/>
        <v>-225747.65171888645</v>
      </c>
    </row>
    <row r="61" spans="2:52" x14ac:dyDescent="0.2">
      <c r="B61" s="28"/>
      <c r="C61" s="16"/>
      <c r="D61" s="17"/>
      <c r="E61" s="17"/>
      <c r="F61" s="17"/>
      <c r="G61" s="17"/>
      <c r="H61" s="17"/>
      <c r="I61" s="17"/>
      <c r="J61" s="17"/>
      <c r="K61" s="17"/>
      <c r="L61" s="31"/>
    </row>
    <row r="62" spans="2:52" x14ac:dyDescent="0.2">
      <c r="B62" s="28"/>
      <c r="C62" s="16"/>
      <c r="D62" s="17"/>
      <c r="E62" s="17"/>
      <c r="F62" s="17"/>
      <c r="G62" s="17"/>
      <c r="H62" s="17"/>
      <c r="I62" s="17"/>
      <c r="J62" s="17"/>
      <c r="K62" s="17"/>
      <c r="L62" s="31"/>
    </row>
    <row r="63" spans="2:52" x14ac:dyDescent="0.2">
      <c r="B63" s="28"/>
      <c r="C63" s="16"/>
      <c r="D63" s="17"/>
      <c r="E63" s="17"/>
      <c r="F63" s="17"/>
      <c r="G63" s="17"/>
      <c r="H63" s="17"/>
      <c r="I63" s="17"/>
      <c r="J63" s="17"/>
      <c r="K63" s="17"/>
      <c r="L63" s="31"/>
    </row>
    <row r="64" spans="2:52" x14ac:dyDescent="0.2">
      <c r="B64" s="28"/>
      <c r="C64" s="16"/>
      <c r="D64" s="17"/>
      <c r="E64" s="17"/>
      <c r="F64" s="17"/>
      <c r="G64" s="17"/>
      <c r="H64" s="17"/>
      <c r="I64" s="17"/>
      <c r="J64" s="17"/>
      <c r="K64" s="17"/>
      <c r="L64" s="31"/>
    </row>
    <row r="65" spans="2:12" x14ac:dyDescent="0.2">
      <c r="B65" s="28"/>
      <c r="C65" s="16"/>
      <c r="D65" s="17"/>
      <c r="E65" s="17"/>
      <c r="F65" s="17"/>
      <c r="G65" s="17"/>
      <c r="H65" s="17"/>
      <c r="I65" s="17"/>
      <c r="J65" s="17"/>
      <c r="K65" s="17"/>
      <c r="L65" s="31"/>
    </row>
    <row r="66" spans="2:12" x14ac:dyDescent="0.2">
      <c r="B66" s="28"/>
      <c r="C66" s="16"/>
      <c r="D66" s="17"/>
      <c r="E66" s="17"/>
      <c r="F66" s="17"/>
      <c r="G66" s="17"/>
      <c r="H66" s="17"/>
      <c r="I66" s="17"/>
      <c r="J66" s="17"/>
      <c r="K66" s="17"/>
      <c r="L66" s="31"/>
    </row>
    <row r="67" spans="2:12" x14ac:dyDescent="0.2">
      <c r="B67" s="28"/>
      <c r="C67" s="16"/>
      <c r="D67" s="17"/>
      <c r="E67" s="17"/>
      <c r="F67" s="17"/>
      <c r="G67" s="17"/>
      <c r="H67" s="17"/>
      <c r="I67" s="17"/>
      <c r="J67" s="17"/>
      <c r="K67" s="17"/>
      <c r="L67" s="31"/>
    </row>
    <row r="68" spans="2:12" x14ac:dyDescent="0.2">
      <c r="B68" s="28"/>
      <c r="C68" s="16"/>
      <c r="D68" s="17"/>
      <c r="E68" s="17"/>
      <c r="F68" s="17"/>
      <c r="G68" s="17"/>
      <c r="H68" s="17"/>
      <c r="I68" s="17"/>
      <c r="J68" s="17"/>
      <c r="K68" s="17"/>
      <c r="L68" s="31"/>
    </row>
    <row r="69" spans="2:12" x14ac:dyDescent="0.2">
      <c r="B69" s="28"/>
      <c r="C69" s="16"/>
      <c r="D69" s="17"/>
      <c r="E69" s="17"/>
      <c r="F69" s="17"/>
      <c r="G69" s="17"/>
      <c r="H69" s="17"/>
      <c r="I69" s="17"/>
      <c r="J69" s="17"/>
      <c r="K69" s="17"/>
      <c r="L69" s="31"/>
    </row>
    <row r="70" spans="2:12" x14ac:dyDescent="0.2">
      <c r="B70" s="28"/>
      <c r="C70" s="16"/>
      <c r="D70" s="17"/>
      <c r="E70" s="17"/>
      <c r="F70" s="17"/>
      <c r="G70" s="17"/>
      <c r="H70" s="17"/>
      <c r="I70" s="17"/>
      <c r="J70" s="17"/>
      <c r="K70" s="17"/>
      <c r="L70" s="31"/>
    </row>
    <row r="71" spans="2:12" x14ac:dyDescent="0.2">
      <c r="B71" s="28"/>
      <c r="C71" s="16"/>
      <c r="D71" s="17"/>
      <c r="E71" s="17"/>
      <c r="F71" s="17"/>
      <c r="G71" s="17"/>
      <c r="H71" s="17"/>
      <c r="I71" s="17"/>
      <c r="J71" s="17"/>
      <c r="K71" s="17"/>
      <c r="L71" s="31"/>
    </row>
    <row r="72" spans="2:12" x14ac:dyDescent="0.2">
      <c r="B72" s="28"/>
      <c r="C72" s="16"/>
      <c r="D72" s="17"/>
      <c r="E72" s="17"/>
      <c r="F72" s="17"/>
      <c r="G72" s="17"/>
      <c r="H72" s="17"/>
      <c r="I72" s="17"/>
      <c r="J72" s="17"/>
      <c r="K72" s="17"/>
      <c r="L72" s="31"/>
    </row>
    <row r="73" spans="2:12" x14ac:dyDescent="0.2">
      <c r="B73" s="28"/>
      <c r="C73" s="16"/>
      <c r="D73" s="17"/>
      <c r="E73" s="17"/>
      <c r="F73" s="17"/>
      <c r="G73" s="17"/>
      <c r="H73" s="17"/>
      <c r="I73" s="17"/>
      <c r="J73" s="17"/>
      <c r="K73" s="17"/>
      <c r="L73" s="31"/>
    </row>
    <row r="74" spans="2:12" x14ac:dyDescent="0.2">
      <c r="B74" s="28"/>
      <c r="C74" s="16"/>
      <c r="D74" s="17"/>
      <c r="E74" s="17"/>
      <c r="F74" s="17"/>
      <c r="G74" s="17"/>
      <c r="H74" s="17"/>
      <c r="I74" s="17"/>
      <c r="J74" s="17"/>
      <c r="K74" s="17"/>
      <c r="L74" s="31"/>
    </row>
    <row r="75" spans="2:12" x14ac:dyDescent="0.2">
      <c r="B75" s="28"/>
      <c r="C75" s="16"/>
      <c r="D75" s="17"/>
      <c r="E75" s="17"/>
      <c r="F75" s="17"/>
      <c r="G75" s="17"/>
      <c r="H75" s="17"/>
      <c r="I75" s="17"/>
      <c r="J75" s="17"/>
      <c r="K75" s="17"/>
      <c r="L75" s="31"/>
    </row>
    <row r="76" spans="2:12" x14ac:dyDescent="0.2">
      <c r="B76" s="28"/>
      <c r="C76" s="16"/>
      <c r="D76" s="17"/>
      <c r="E76" s="17"/>
      <c r="F76" s="17"/>
      <c r="G76" s="17"/>
      <c r="H76" s="17"/>
      <c r="I76" s="17"/>
      <c r="J76" s="17"/>
      <c r="K76" s="17"/>
      <c r="L76" s="31"/>
    </row>
    <row r="77" spans="2:12" x14ac:dyDescent="0.2">
      <c r="B77" s="28"/>
      <c r="C77" s="16"/>
      <c r="D77" s="17"/>
      <c r="E77" s="17"/>
      <c r="F77" s="17"/>
      <c r="G77" s="17"/>
      <c r="H77" s="17"/>
      <c r="I77" s="17"/>
      <c r="J77" s="17"/>
      <c r="K77" s="17"/>
      <c r="L77" s="31"/>
    </row>
    <row r="78" spans="2:12" x14ac:dyDescent="0.2">
      <c r="B78" s="28"/>
      <c r="C78" s="16"/>
      <c r="D78" s="17"/>
      <c r="E78" s="17"/>
      <c r="F78" s="17"/>
      <c r="G78" s="17"/>
      <c r="H78" s="17"/>
      <c r="I78" s="17"/>
      <c r="J78" s="17"/>
      <c r="K78" s="17"/>
      <c r="L78" s="31"/>
    </row>
    <row r="79" spans="2:12" x14ac:dyDescent="0.2">
      <c r="B79" s="28"/>
      <c r="C79" s="16"/>
      <c r="D79" s="17"/>
      <c r="E79" s="17"/>
      <c r="F79" s="17"/>
      <c r="G79" s="17"/>
      <c r="H79" s="17"/>
      <c r="I79" s="17"/>
      <c r="J79" s="17"/>
      <c r="K79" s="17"/>
      <c r="L79" s="31"/>
    </row>
    <row r="80" spans="2:12" x14ac:dyDescent="0.2">
      <c r="B80" s="28"/>
      <c r="C80" s="16"/>
      <c r="D80" s="17"/>
      <c r="E80" s="17"/>
      <c r="F80" s="17"/>
      <c r="G80" s="17"/>
      <c r="H80" s="17"/>
      <c r="I80" s="17"/>
      <c r="J80" s="17"/>
      <c r="K80" s="17"/>
      <c r="L80" s="31"/>
    </row>
    <row r="81" spans="2:12" x14ac:dyDescent="0.2">
      <c r="B81" s="28"/>
      <c r="C81" s="16"/>
      <c r="D81" s="17"/>
      <c r="E81" s="17"/>
      <c r="F81" s="17"/>
      <c r="G81" s="17"/>
      <c r="H81" s="17"/>
      <c r="I81" s="17"/>
      <c r="J81" s="17"/>
      <c r="K81" s="17"/>
      <c r="L81" s="31"/>
    </row>
    <row r="82" spans="2:12" x14ac:dyDescent="0.2">
      <c r="B82" s="28"/>
      <c r="C82" s="16"/>
      <c r="D82" s="17"/>
      <c r="E82" s="17"/>
      <c r="F82" s="17"/>
      <c r="G82" s="17"/>
      <c r="H82" s="17"/>
      <c r="I82" s="17"/>
      <c r="J82" s="17"/>
      <c r="K82" s="17"/>
      <c r="L82" s="31"/>
    </row>
    <row r="83" spans="2:12" x14ac:dyDescent="0.2">
      <c r="B83" s="28"/>
      <c r="C83" s="16"/>
      <c r="D83" s="17"/>
      <c r="E83" s="17"/>
      <c r="F83" s="17"/>
      <c r="G83" s="17"/>
      <c r="H83" s="17"/>
      <c r="I83" s="17"/>
      <c r="J83" s="17"/>
      <c r="K83" s="17"/>
      <c r="L83" s="31"/>
    </row>
    <row r="84" spans="2:12" x14ac:dyDescent="0.2">
      <c r="B84" s="28"/>
      <c r="C84" s="16"/>
      <c r="D84" s="17"/>
      <c r="E84" s="17"/>
      <c r="F84" s="17"/>
      <c r="G84" s="17"/>
      <c r="H84" s="17"/>
      <c r="I84" s="17"/>
      <c r="J84" s="17"/>
      <c r="K84" s="17"/>
      <c r="L84" s="31"/>
    </row>
    <row r="85" spans="2:12" x14ac:dyDescent="0.2">
      <c r="B85" s="28"/>
      <c r="C85" s="16"/>
      <c r="D85" s="17"/>
      <c r="E85" s="17"/>
      <c r="F85" s="17"/>
      <c r="G85" s="17"/>
      <c r="H85" s="17"/>
      <c r="I85" s="17"/>
      <c r="J85" s="17"/>
      <c r="K85" s="17"/>
      <c r="L85" s="31"/>
    </row>
    <row r="86" spans="2:12" x14ac:dyDescent="0.2">
      <c r="B86" s="28"/>
      <c r="C86" s="16"/>
      <c r="D86" s="17"/>
      <c r="E86" s="17"/>
      <c r="F86" s="17"/>
      <c r="G86" s="17"/>
      <c r="H86" s="17"/>
      <c r="I86" s="17"/>
      <c r="J86" s="17"/>
      <c r="K86" s="17"/>
      <c r="L86" s="31"/>
    </row>
    <row r="87" spans="2:12" x14ac:dyDescent="0.2">
      <c r="B87" s="28"/>
      <c r="C87" s="16"/>
      <c r="D87" s="17"/>
      <c r="E87" s="17"/>
      <c r="F87" s="17"/>
      <c r="G87" s="17"/>
      <c r="H87" s="17"/>
      <c r="I87" s="17"/>
      <c r="J87" s="17"/>
      <c r="K87" s="17"/>
      <c r="L87" s="31"/>
    </row>
    <row r="88" spans="2:12" x14ac:dyDescent="0.2">
      <c r="B88" s="28"/>
      <c r="C88" s="16"/>
      <c r="D88" s="17"/>
      <c r="E88" s="17"/>
      <c r="F88" s="17"/>
      <c r="G88" s="17"/>
      <c r="H88" s="17"/>
      <c r="I88" s="17"/>
      <c r="J88" s="17"/>
      <c r="K88" s="17"/>
      <c r="L88" s="31"/>
    </row>
    <row r="89" spans="2:12" x14ac:dyDescent="0.2">
      <c r="B89" s="28"/>
      <c r="C89" s="16"/>
      <c r="D89" s="17"/>
      <c r="E89" s="17"/>
      <c r="F89" s="17"/>
      <c r="G89" s="17"/>
      <c r="H89" s="17"/>
      <c r="I89" s="17"/>
      <c r="J89" s="17"/>
      <c r="K89" s="17"/>
      <c r="L89" s="31"/>
    </row>
    <row r="90" spans="2:12" x14ac:dyDescent="0.2">
      <c r="B90" s="28"/>
      <c r="C90" s="16"/>
      <c r="D90" s="17"/>
      <c r="E90" s="17"/>
      <c r="F90" s="17"/>
      <c r="G90" s="17"/>
      <c r="H90" s="17"/>
      <c r="I90" s="17"/>
      <c r="J90" s="17"/>
      <c r="K90" s="17"/>
      <c r="L90" s="31"/>
    </row>
    <row r="91" spans="2:12" x14ac:dyDescent="0.2">
      <c r="B91" s="28"/>
      <c r="C91" s="16"/>
      <c r="D91" s="17"/>
      <c r="E91" s="17"/>
      <c r="F91" s="17"/>
      <c r="G91" s="17"/>
      <c r="H91" s="17"/>
      <c r="I91" s="17"/>
      <c r="J91" s="17"/>
      <c r="K91" s="17"/>
      <c r="L91" s="31"/>
    </row>
    <row r="92" spans="2:12" x14ac:dyDescent="0.2">
      <c r="B92" s="28"/>
      <c r="C92" s="16"/>
      <c r="D92" s="17"/>
      <c r="E92" s="17"/>
      <c r="F92" s="17"/>
      <c r="G92" s="17"/>
      <c r="H92" s="17"/>
      <c r="I92" s="17"/>
      <c r="J92" s="17"/>
      <c r="K92" s="17"/>
      <c r="L92" s="31"/>
    </row>
    <row r="93" spans="2:12" x14ac:dyDescent="0.2">
      <c r="B93" s="28"/>
      <c r="C93" s="16"/>
      <c r="D93" s="17"/>
      <c r="E93" s="17"/>
      <c r="F93" s="17"/>
      <c r="G93" s="17"/>
      <c r="H93" s="17"/>
      <c r="I93" s="17"/>
      <c r="J93" s="17"/>
      <c r="K93" s="17"/>
      <c r="L93" s="31"/>
    </row>
    <row r="94" spans="2:12" x14ac:dyDescent="0.2">
      <c r="B94" s="28"/>
      <c r="C94" s="16"/>
      <c r="D94" s="17"/>
      <c r="E94" s="17"/>
      <c r="F94" s="17"/>
      <c r="G94" s="17"/>
      <c r="H94" s="17"/>
      <c r="I94" s="17"/>
      <c r="J94" s="17"/>
      <c r="K94" s="17"/>
      <c r="L94" s="31"/>
    </row>
    <row r="95" spans="2:12" x14ac:dyDescent="0.2">
      <c r="B95" s="28"/>
      <c r="C95" s="16"/>
      <c r="D95" s="17"/>
      <c r="E95" s="17"/>
      <c r="F95" s="17"/>
      <c r="G95" s="17"/>
      <c r="H95" s="17"/>
      <c r="I95" s="17"/>
      <c r="J95" s="17"/>
      <c r="K95" s="17"/>
      <c r="L95" s="31"/>
    </row>
    <row r="96" spans="2:12" x14ac:dyDescent="0.2">
      <c r="B96" s="28"/>
      <c r="C96" s="16"/>
      <c r="D96" s="17"/>
      <c r="E96" s="17"/>
      <c r="F96" s="17"/>
      <c r="G96" s="17"/>
      <c r="H96" s="17"/>
      <c r="I96" s="17"/>
      <c r="J96" s="17"/>
      <c r="K96" s="17"/>
      <c r="L96" s="31"/>
    </row>
    <row r="97" spans="2:12" x14ac:dyDescent="0.2">
      <c r="B97" s="28"/>
      <c r="C97" s="16"/>
      <c r="D97" s="17"/>
      <c r="E97" s="17"/>
      <c r="F97" s="17"/>
      <c r="G97" s="17"/>
      <c r="H97" s="17"/>
      <c r="I97" s="17"/>
      <c r="J97" s="17"/>
      <c r="K97" s="17"/>
      <c r="L97" s="31"/>
    </row>
    <row r="98" spans="2:12" x14ac:dyDescent="0.2">
      <c r="B98" s="28"/>
      <c r="C98" s="16"/>
      <c r="D98" s="17"/>
      <c r="E98" s="17"/>
      <c r="F98" s="17"/>
      <c r="G98" s="17"/>
      <c r="H98" s="17"/>
      <c r="I98" s="17"/>
      <c r="J98" s="17"/>
      <c r="K98" s="17"/>
      <c r="L98" s="31"/>
    </row>
    <row r="99" spans="2:12" x14ac:dyDescent="0.2">
      <c r="B99" s="28"/>
      <c r="C99" s="16"/>
      <c r="D99" s="17"/>
      <c r="E99" s="17"/>
      <c r="F99" s="17"/>
      <c r="G99" s="17"/>
      <c r="H99" s="17"/>
      <c r="I99" s="17"/>
      <c r="J99" s="17"/>
      <c r="K99" s="17"/>
      <c r="L99" s="31"/>
    </row>
    <row r="100" spans="2:12" x14ac:dyDescent="0.2">
      <c r="B100" s="28"/>
      <c r="C100" s="16"/>
      <c r="D100" s="17"/>
      <c r="E100" s="17"/>
      <c r="F100" s="17"/>
      <c r="G100" s="17"/>
      <c r="H100" s="17"/>
      <c r="I100" s="17"/>
      <c r="J100" s="17"/>
      <c r="K100" s="17"/>
      <c r="L100" s="31"/>
    </row>
    <row r="101" spans="2:12" x14ac:dyDescent="0.2">
      <c r="B101" s="28"/>
      <c r="C101" s="16"/>
      <c r="D101" s="17"/>
      <c r="E101" s="17"/>
      <c r="F101" s="17"/>
      <c r="G101" s="17"/>
      <c r="H101" s="17"/>
      <c r="I101" s="17"/>
      <c r="J101" s="17"/>
      <c r="K101" s="17"/>
      <c r="L101" s="31"/>
    </row>
    <row r="102" spans="2:12" x14ac:dyDescent="0.2">
      <c r="B102" s="28"/>
      <c r="C102" s="16"/>
      <c r="D102" s="17"/>
      <c r="E102" s="17"/>
      <c r="F102" s="17"/>
      <c r="G102" s="17"/>
      <c r="H102" s="17"/>
      <c r="I102" s="17"/>
      <c r="J102" s="17"/>
      <c r="K102" s="17"/>
      <c r="L102" s="31"/>
    </row>
    <row r="103" spans="2:12" x14ac:dyDescent="0.2">
      <c r="B103" s="28"/>
      <c r="C103" s="16"/>
      <c r="D103" s="17"/>
      <c r="E103" s="17"/>
      <c r="F103" s="17"/>
      <c r="G103" s="17"/>
      <c r="H103" s="17"/>
      <c r="I103" s="17"/>
      <c r="J103" s="17"/>
      <c r="K103" s="17"/>
      <c r="L103" s="31"/>
    </row>
    <row r="104" spans="2:12" x14ac:dyDescent="0.2">
      <c r="B104" s="28"/>
      <c r="C104" s="16"/>
      <c r="D104" s="17"/>
      <c r="E104" s="17"/>
      <c r="F104" s="17"/>
      <c r="G104" s="17"/>
      <c r="H104" s="17"/>
      <c r="I104" s="17"/>
      <c r="J104" s="17"/>
      <c r="K104" s="17"/>
      <c r="L104" s="31"/>
    </row>
    <row r="105" spans="2:12" x14ac:dyDescent="0.2">
      <c r="B105" s="28"/>
      <c r="C105" s="16"/>
      <c r="D105" s="17"/>
      <c r="E105" s="17"/>
      <c r="F105" s="17"/>
      <c r="G105" s="17"/>
      <c r="H105" s="17"/>
      <c r="I105" s="17"/>
      <c r="J105" s="17"/>
      <c r="K105" s="17"/>
      <c r="L105" s="31"/>
    </row>
    <row r="106" spans="2:12" x14ac:dyDescent="0.2">
      <c r="B106" s="28"/>
      <c r="C106" s="16"/>
      <c r="D106" s="17"/>
      <c r="E106" s="17"/>
      <c r="F106" s="17"/>
      <c r="G106" s="17"/>
      <c r="H106" s="17"/>
      <c r="I106" s="17"/>
      <c r="J106" s="17"/>
      <c r="K106" s="17"/>
      <c r="L106" s="31"/>
    </row>
    <row r="107" spans="2:12" x14ac:dyDescent="0.2">
      <c r="B107" s="28"/>
      <c r="C107" s="16"/>
      <c r="D107" s="17"/>
      <c r="E107" s="17"/>
      <c r="F107" s="17"/>
      <c r="G107" s="17"/>
      <c r="H107" s="17"/>
      <c r="I107" s="17"/>
      <c r="J107" s="17"/>
      <c r="K107" s="17"/>
      <c r="L107" s="31"/>
    </row>
    <row r="108" spans="2:12" x14ac:dyDescent="0.2">
      <c r="B108" s="28"/>
      <c r="C108" s="16"/>
      <c r="D108" s="17"/>
      <c r="E108" s="17"/>
      <c r="F108" s="17"/>
      <c r="G108" s="17"/>
      <c r="H108" s="17"/>
      <c r="I108" s="17"/>
      <c r="J108" s="17"/>
      <c r="K108" s="17"/>
      <c r="L108" s="31"/>
    </row>
    <row r="109" spans="2:12" x14ac:dyDescent="0.2">
      <c r="B109" s="28"/>
      <c r="C109" s="16"/>
      <c r="D109" s="17"/>
      <c r="E109" s="17"/>
      <c r="F109" s="17"/>
      <c r="G109" s="17"/>
      <c r="H109" s="17"/>
      <c r="I109" s="17"/>
      <c r="J109" s="17"/>
      <c r="K109" s="17"/>
      <c r="L109" s="31"/>
    </row>
    <row r="110" spans="2:12" x14ac:dyDescent="0.2">
      <c r="B110" s="28"/>
      <c r="C110" s="16"/>
      <c r="D110" s="17"/>
      <c r="E110" s="17"/>
      <c r="F110" s="17"/>
      <c r="G110" s="17"/>
      <c r="H110" s="17"/>
      <c r="I110" s="17"/>
      <c r="J110" s="17"/>
      <c r="K110" s="17"/>
      <c r="L110" s="31"/>
    </row>
    <row r="111" spans="2:12" x14ac:dyDescent="0.2">
      <c r="B111" s="28"/>
      <c r="C111" s="16"/>
      <c r="D111" s="17"/>
      <c r="E111" s="17"/>
      <c r="F111" s="17"/>
      <c r="G111" s="17"/>
      <c r="H111" s="17"/>
      <c r="I111" s="17"/>
      <c r="J111" s="17"/>
      <c r="K111" s="17"/>
      <c r="L111" s="31"/>
    </row>
    <row r="112" spans="2:12" x14ac:dyDescent="0.2">
      <c r="B112" s="28"/>
      <c r="C112" s="16"/>
      <c r="D112" s="17"/>
      <c r="E112" s="17"/>
      <c r="F112" s="17"/>
      <c r="G112" s="17"/>
      <c r="H112" s="17"/>
      <c r="I112" s="17"/>
      <c r="J112" s="17"/>
      <c r="K112" s="17"/>
      <c r="L112" s="31"/>
    </row>
    <row r="113" spans="2:12" x14ac:dyDescent="0.2">
      <c r="B113" s="28"/>
      <c r="C113" s="16"/>
      <c r="D113" s="17"/>
      <c r="E113" s="17"/>
      <c r="F113" s="17"/>
      <c r="G113" s="17"/>
      <c r="H113" s="17"/>
      <c r="I113" s="17"/>
      <c r="J113" s="17"/>
      <c r="K113" s="17"/>
      <c r="L113" s="31"/>
    </row>
    <row r="114" spans="2:12" x14ac:dyDescent="0.2">
      <c r="B114" s="28"/>
      <c r="C114" s="16"/>
      <c r="D114" s="17"/>
      <c r="E114" s="17"/>
      <c r="F114" s="17"/>
      <c r="G114" s="17"/>
      <c r="H114" s="17"/>
      <c r="I114" s="17"/>
      <c r="J114" s="17"/>
      <c r="K114" s="17"/>
      <c r="L114" s="31"/>
    </row>
    <row r="115" spans="2:12" x14ac:dyDescent="0.2">
      <c r="B115" s="28"/>
      <c r="C115" s="16"/>
      <c r="D115" s="17"/>
      <c r="E115" s="17"/>
      <c r="F115" s="17"/>
      <c r="G115" s="17"/>
      <c r="H115" s="17"/>
      <c r="I115" s="17"/>
      <c r="J115" s="17"/>
      <c r="K115" s="17"/>
      <c r="L115" s="31"/>
    </row>
    <row r="116" spans="2:12" x14ac:dyDescent="0.2">
      <c r="B116" s="28"/>
      <c r="C116" s="16"/>
      <c r="D116" s="17"/>
      <c r="E116" s="17"/>
      <c r="F116" s="17"/>
      <c r="G116" s="17"/>
      <c r="H116" s="17"/>
      <c r="I116" s="17"/>
      <c r="J116" s="17"/>
      <c r="K116" s="17"/>
      <c r="L116" s="31"/>
    </row>
    <row r="117" spans="2:12" x14ac:dyDescent="0.2">
      <c r="B117" s="28"/>
      <c r="C117" s="16"/>
      <c r="D117" s="17"/>
      <c r="E117" s="17"/>
      <c r="F117" s="17"/>
      <c r="G117" s="17"/>
      <c r="H117" s="17"/>
      <c r="I117" s="17"/>
      <c r="J117" s="17"/>
      <c r="K117" s="17"/>
      <c r="L117" s="31"/>
    </row>
    <row r="118" spans="2:12" x14ac:dyDescent="0.2">
      <c r="B118" s="28"/>
      <c r="C118" s="16"/>
      <c r="D118" s="17"/>
      <c r="E118" s="17"/>
      <c r="F118" s="17"/>
      <c r="G118" s="17"/>
      <c r="H118" s="17"/>
      <c r="I118" s="17"/>
      <c r="J118" s="17"/>
      <c r="K118" s="17"/>
      <c r="L118" s="31"/>
    </row>
    <row r="119" spans="2:12" x14ac:dyDescent="0.2">
      <c r="B119" s="28"/>
      <c r="C119" s="16"/>
      <c r="D119" s="17"/>
      <c r="E119" s="17"/>
      <c r="F119" s="17"/>
      <c r="G119" s="17"/>
      <c r="H119" s="17"/>
      <c r="I119" s="17"/>
      <c r="J119" s="17"/>
      <c r="K119" s="17"/>
      <c r="L119" s="31"/>
    </row>
    <row r="120" spans="2:12" x14ac:dyDescent="0.2">
      <c r="B120" s="28"/>
      <c r="C120" s="16"/>
      <c r="D120" s="17"/>
      <c r="E120" s="17"/>
      <c r="F120" s="17"/>
      <c r="G120" s="17"/>
      <c r="H120" s="17"/>
      <c r="I120" s="17"/>
      <c r="J120" s="17"/>
      <c r="K120" s="17"/>
      <c r="L120" s="31"/>
    </row>
    <row r="121" spans="2:12" x14ac:dyDescent="0.2">
      <c r="B121" s="28"/>
      <c r="C121" s="16"/>
      <c r="D121" s="17"/>
      <c r="E121" s="17"/>
      <c r="F121" s="17"/>
      <c r="G121" s="17"/>
      <c r="H121" s="17"/>
      <c r="I121" s="17"/>
      <c r="J121" s="17"/>
      <c r="K121" s="17"/>
      <c r="L121" s="31"/>
    </row>
    <row r="122" spans="2:12" x14ac:dyDescent="0.2">
      <c r="B122" s="28"/>
      <c r="C122" s="16"/>
      <c r="D122" s="17"/>
      <c r="E122" s="17"/>
      <c r="F122" s="17"/>
      <c r="G122" s="17"/>
      <c r="H122" s="17"/>
      <c r="I122" s="17"/>
      <c r="J122" s="17"/>
      <c r="K122" s="17"/>
      <c r="L122" s="31"/>
    </row>
    <row r="123" spans="2:12" x14ac:dyDescent="0.2">
      <c r="B123" s="28"/>
      <c r="C123" s="16"/>
      <c r="D123" s="17"/>
      <c r="E123" s="17"/>
      <c r="F123" s="17"/>
      <c r="G123" s="17"/>
      <c r="H123" s="17"/>
      <c r="I123" s="17"/>
      <c r="J123" s="17"/>
      <c r="K123" s="17"/>
      <c r="L123" s="31"/>
    </row>
    <row r="124" spans="2:12" x14ac:dyDescent="0.2">
      <c r="B124" s="28"/>
      <c r="C124" s="16"/>
      <c r="D124" s="17"/>
      <c r="E124" s="17"/>
      <c r="F124" s="17"/>
      <c r="G124" s="17"/>
      <c r="H124" s="17"/>
      <c r="I124" s="17"/>
      <c r="J124" s="17"/>
      <c r="K124" s="17"/>
      <c r="L124" s="31"/>
    </row>
    <row r="125" spans="2:12" x14ac:dyDescent="0.2">
      <c r="B125" s="28"/>
      <c r="C125" s="16"/>
      <c r="D125" s="17"/>
      <c r="E125" s="17"/>
      <c r="F125" s="17"/>
      <c r="G125" s="17"/>
      <c r="H125" s="17"/>
      <c r="I125" s="17"/>
      <c r="J125" s="17"/>
      <c r="K125" s="17"/>
      <c r="L125" s="31"/>
    </row>
    <row r="126" spans="2:12" x14ac:dyDescent="0.2">
      <c r="B126" s="28"/>
      <c r="C126" s="16"/>
      <c r="D126" s="17"/>
      <c r="E126" s="17"/>
      <c r="F126" s="17"/>
      <c r="G126" s="17"/>
      <c r="H126" s="17"/>
      <c r="I126" s="17"/>
      <c r="J126" s="17"/>
      <c r="K126" s="17"/>
      <c r="L126" s="31"/>
    </row>
    <row r="127" spans="2:12" x14ac:dyDescent="0.2">
      <c r="B127" s="28"/>
      <c r="C127" s="16"/>
      <c r="D127" s="17"/>
      <c r="E127" s="17"/>
      <c r="F127" s="17"/>
      <c r="G127" s="17"/>
      <c r="H127" s="17"/>
      <c r="I127" s="17"/>
      <c r="J127" s="17"/>
      <c r="K127" s="17"/>
      <c r="L127" s="31"/>
    </row>
    <row r="128" spans="2:12" x14ac:dyDescent="0.2">
      <c r="B128" s="28"/>
      <c r="C128" s="16"/>
      <c r="D128" s="17"/>
      <c r="E128" s="17"/>
      <c r="F128" s="17"/>
      <c r="G128" s="17"/>
      <c r="H128" s="17"/>
      <c r="I128" s="17"/>
      <c r="J128" s="17"/>
      <c r="K128" s="17"/>
      <c r="L128" s="31"/>
    </row>
    <row r="129" spans="2:12" x14ac:dyDescent="0.2">
      <c r="B129" s="28"/>
      <c r="C129" s="16"/>
      <c r="D129" s="17"/>
      <c r="E129" s="17"/>
      <c r="F129" s="17"/>
      <c r="G129" s="17"/>
      <c r="H129" s="17"/>
      <c r="I129" s="17"/>
      <c r="J129" s="17"/>
      <c r="K129" s="17"/>
      <c r="L129" s="31"/>
    </row>
    <row r="130" spans="2:12" x14ac:dyDescent="0.2">
      <c r="B130" s="28"/>
      <c r="C130" s="16"/>
      <c r="D130" s="17"/>
      <c r="E130" s="17"/>
      <c r="F130" s="17"/>
      <c r="G130" s="17"/>
      <c r="H130" s="17"/>
      <c r="I130" s="17"/>
      <c r="J130" s="17"/>
      <c r="K130" s="17"/>
      <c r="L130" s="31"/>
    </row>
    <row r="131" spans="2:12" x14ac:dyDescent="0.2">
      <c r="B131" s="28"/>
      <c r="C131" s="16"/>
      <c r="D131" s="17"/>
      <c r="E131" s="17"/>
      <c r="F131" s="17"/>
      <c r="G131" s="17"/>
      <c r="H131" s="17"/>
      <c r="I131" s="17"/>
      <c r="J131" s="17"/>
      <c r="K131" s="17"/>
      <c r="L131" s="31"/>
    </row>
    <row r="132" spans="2:12" x14ac:dyDescent="0.2">
      <c r="B132" s="28"/>
      <c r="C132" s="16"/>
      <c r="D132" s="17"/>
      <c r="E132" s="17"/>
      <c r="F132" s="17"/>
      <c r="G132" s="17"/>
      <c r="H132" s="17"/>
      <c r="I132" s="17"/>
      <c r="J132" s="17"/>
      <c r="K132" s="17"/>
      <c r="L132" s="31"/>
    </row>
    <row r="133" spans="2:12" x14ac:dyDescent="0.2">
      <c r="B133" s="28"/>
      <c r="C133" s="16"/>
      <c r="D133" s="17"/>
      <c r="E133" s="17"/>
      <c r="F133" s="17"/>
      <c r="G133" s="17"/>
      <c r="H133" s="17"/>
      <c r="I133" s="17"/>
      <c r="J133" s="17"/>
      <c r="K133" s="17"/>
      <c r="L133" s="31"/>
    </row>
    <row r="134" spans="2:12" x14ac:dyDescent="0.2">
      <c r="B134" s="28"/>
      <c r="C134" s="16"/>
      <c r="D134" s="17"/>
      <c r="E134" s="17"/>
      <c r="F134" s="17"/>
      <c r="G134" s="17"/>
      <c r="H134" s="17"/>
      <c r="I134" s="17"/>
      <c r="J134" s="17"/>
      <c r="K134" s="17"/>
      <c r="L134" s="31"/>
    </row>
    <row r="135" spans="2:12" x14ac:dyDescent="0.2">
      <c r="B135" s="28"/>
      <c r="C135" s="16"/>
      <c r="D135" s="17"/>
      <c r="E135" s="17"/>
      <c r="F135" s="17"/>
      <c r="G135" s="17"/>
      <c r="H135" s="17"/>
      <c r="I135" s="17"/>
      <c r="J135" s="17"/>
      <c r="K135" s="17"/>
      <c r="L135" s="31"/>
    </row>
    <row r="136" spans="2:12" x14ac:dyDescent="0.2">
      <c r="B136" s="28"/>
      <c r="C136" s="16"/>
      <c r="D136" s="17"/>
      <c r="E136" s="17"/>
      <c r="F136" s="17"/>
      <c r="G136" s="17"/>
      <c r="H136" s="17"/>
      <c r="I136" s="17"/>
      <c r="J136" s="17"/>
      <c r="K136" s="17"/>
      <c r="L136" s="31"/>
    </row>
    <row r="137" spans="2:12" x14ac:dyDescent="0.2">
      <c r="B137" s="28"/>
      <c r="C137" s="16"/>
      <c r="D137" s="17"/>
      <c r="E137" s="17"/>
      <c r="F137" s="17"/>
      <c r="G137" s="17"/>
      <c r="H137" s="17"/>
      <c r="I137" s="17"/>
      <c r="J137" s="17"/>
      <c r="K137" s="17"/>
      <c r="L137" s="31"/>
    </row>
    <row r="138" spans="2:12" x14ac:dyDescent="0.2">
      <c r="B138" s="28"/>
      <c r="C138" s="16"/>
      <c r="D138" s="17"/>
      <c r="E138" s="17"/>
      <c r="F138" s="17"/>
      <c r="G138" s="17"/>
      <c r="H138" s="17"/>
      <c r="I138" s="17"/>
      <c r="J138" s="17"/>
      <c r="K138" s="17"/>
      <c r="L138" s="31"/>
    </row>
    <row r="139" spans="2:12" x14ac:dyDescent="0.2">
      <c r="B139" s="28"/>
      <c r="C139" s="16"/>
      <c r="D139" s="17"/>
      <c r="E139" s="17"/>
      <c r="F139" s="17"/>
      <c r="G139" s="17"/>
      <c r="H139" s="17"/>
      <c r="I139" s="17"/>
      <c r="J139" s="17"/>
      <c r="K139" s="17"/>
      <c r="L139" s="31"/>
    </row>
    <row r="140" spans="2:12" x14ac:dyDescent="0.2">
      <c r="B140" s="28"/>
      <c r="C140" s="16"/>
      <c r="D140" s="17"/>
      <c r="E140" s="17"/>
      <c r="F140" s="17"/>
      <c r="G140" s="17"/>
      <c r="H140" s="17"/>
      <c r="I140" s="17"/>
      <c r="J140" s="17"/>
      <c r="K140" s="17"/>
      <c r="L140" s="31"/>
    </row>
    <row r="141" spans="2:12" x14ac:dyDescent="0.2">
      <c r="B141" s="28"/>
      <c r="C141" s="16"/>
      <c r="D141" s="17"/>
      <c r="E141" s="17"/>
      <c r="F141" s="17"/>
      <c r="G141" s="17"/>
      <c r="H141" s="17"/>
      <c r="I141" s="17"/>
      <c r="J141" s="17"/>
      <c r="K141" s="17"/>
      <c r="L141" s="31"/>
    </row>
    <row r="142" spans="2:12" x14ac:dyDescent="0.2">
      <c r="B142" s="28"/>
      <c r="C142" s="16"/>
      <c r="D142" s="17"/>
      <c r="E142" s="17"/>
      <c r="F142" s="17"/>
      <c r="G142" s="17"/>
      <c r="H142" s="17"/>
      <c r="I142" s="17"/>
      <c r="J142" s="17"/>
      <c r="K142" s="17"/>
      <c r="L142" s="31"/>
    </row>
    <row r="143" spans="2:12" x14ac:dyDescent="0.2">
      <c r="B143" s="28"/>
      <c r="C143" s="16"/>
      <c r="D143" s="17"/>
      <c r="E143" s="17"/>
      <c r="F143" s="17"/>
      <c r="G143" s="17"/>
      <c r="H143" s="17"/>
      <c r="I143" s="17"/>
      <c r="J143" s="17"/>
      <c r="K143" s="17"/>
      <c r="L143" s="31"/>
    </row>
    <row r="144" spans="2:12" x14ac:dyDescent="0.2">
      <c r="B144" s="28"/>
      <c r="C144" s="16"/>
      <c r="D144" s="17"/>
      <c r="E144" s="17"/>
      <c r="F144" s="17"/>
      <c r="G144" s="17"/>
      <c r="H144" s="17"/>
      <c r="I144" s="17"/>
      <c r="J144" s="17"/>
      <c r="K144" s="17"/>
      <c r="L144" s="31"/>
    </row>
    <row r="145" spans="2:12" x14ac:dyDescent="0.2">
      <c r="B145" s="28"/>
      <c r="C145" s="16"/>
      <c r="D145" s="17"/>
      <c r="E145" s="17"/>
      <c r="F145" s="17"/>
      <c r="G145" s="17"/>
      <c r="H145" s="17"/>
      <c r="I145" s="17"/>
      <c r="J145" s="17"/>
      <c r="K145" s="17"/>
      <c r="L145" s="31"/>
    </row>
    <row r="146" spans="2:12" x14ac:dyDescent="0.2">
      <c r="B146" s="28"/>
      <c r="C146" s="16"/>
      <c r="D146" s="17"/>
      <c r="E146" s="17"/>
      <c r="F146" s="17"/>
      <c r="G146" s="17"/>
      <c r="H146" s="17"/>
      <c r="I146" s="17"/>
      <c r="J146" s="17"/>
      <c r="K146" s="17"/>
      <c r="L146" s="31"/>
    </row>
    <row r="147" spans="2:12" x14ac:dyDescent="0.2">
      <c r="B147" s="28"/>
      <c r="C147" s="16"/>
      <c r="D147" s="17"/>
      <c r="E147" s="17"/>
      <c r="F147" s="17"/>
      <c r="G147" s="17"/>
      <c r="H147" s="17"/>
      <c r="I147" s="17"/>
      <c r="J147" s="17"/>
      <c r="K147" s="17"/>
      <c r="L147" s="31"/>
    </row>
    <row r="148" spans="2:12" x14ac:dyDescent="0.2">
      <c r="B148" s="28"/>
      <c r="C148" s="16"/>
      <c r="D148" s="17"/>
      <c r="E148" s="17"/>
      <c r="F148" s="17"/>
      <c r="G148" s="17"/>
      <c r="H148" s="17"/>
      <c r="I148" s="17"/>
      <c r="J148" s="17"/>
      <c r="K148" s="17"/>
      <c r="L148" s="31"/>
    </row>
    <row r="149" spans="2:12" x14ac:dyDescent="0.2">
      <c r="B149" s="28"/>
      <c r="C149" s="16"/>
      <c r="D149" s="17"/>
      <c r="E149" s="17"/>
      <c r="F149" s="17"/>
      <c r="G149" s="17"/>
      <c r="H149" s="17"/>
      <c r="I149" s="17"/>
      <c r="J149" s="17"/>
      <c r="K149" s="17"/>
      <c r="L149" s="31"/>
    </row>
    <row r="150" spans="2:12" x14ac:dyDescent="0.2">
      <c r="B150" s="28"/>
      <c r="C150" s="16"/>
      <c r="D150" s="17"/>
      <c r="E150" s="17"/>
      <c r="F150" s="17"/>
      <c r="G150" s="17"/>
      <c r="H150" s="17"/>
      <c r="I150" s="17"/>
      <c r="J150" s="17"/>
      <c r="K150" s="17"/>
      <c r="L150" s="31"/>
    </row>
    <row r="151" spans="2:12" x14ac:dyDescent="0.2">
      <c r="B151" s="28"/>
      <c r="C151" s="16"/>
      <c r="D151" s="17"/>
      <c r="E151" s="17"/>
      <c r="F151" s="17"/>
      <c r="G151" s="17"/>
      <c r="H151" s="17"/>
      <c r="I151" s="17"/>
      <c r="J151" s="17"/>
      <c r="K151" s="17"/>
      <c r="L151" s="31"/>
    </row>
    <row r="152" spans="2:12" x14ac:dyDescent="0.2">
      <c r="B152" s="28"/>
      <c r="C152" s="16"/>
      <c r="D152" s="17"/>
      <c r="E152" s="17"/>
      <c r="F152" s="17"/>
      <c r="G152" s="17"/>
      <c r="H152" s="17"/>
      <c r="I152" s="17"/>
      <c r="J152" s="17"/>
      <c r="K152" s="17"/>
      <c r="L152" s="31"/>
    </row>
    <row r="153" spans="2:12" x14ac:dyDescent="0.2">
      <c r="B153" s="28"/>
      <c r="C153" s="16"/>
      <c r="D153" s="17"/>
      <c r="E153" s="17"/>
      <c r="F153" s="17"/>
      <c r="G153" s="17"/>
      <c r="H153" s="17"/>
      <c r="I153" s="17"/>
      <c r="J153" s="17"/>
      <c r="K153" s="17"/>
      <c r="L153" s="31"/>
    </row>
    <row r="154" spans="2:12" x14ac:dyDescent="0.2">
      <c r="B154" s="28"/>
      <c r="C154" s="16"/>
      <c r="D154" s="17"/>
      <c r="E154" s="17"/>
      <c r="F154" s="17"/>
      <c r="G154" s="17"/>
      <c r="H154" s="17"/>
      <c r="I154" s="17"/>
      <c r="J154" s="17"/>
      <c r="K154" s="17"/>
      <c r="L154" s="31"/>
    </row>
    <row r="155" spans="2:12" x14ac:dyDescent="0.2">
      <c r="B155" s="28"/>
      <c r="C155" s="16"/>
      <c r="D155" s="17"/>
      <c r="E155" s="17"/>
      <c r="F155" s="17"/>
      <c r="G155" s="17"/>
      <c r="H155" s="17"/>
      <c r="I155" s="17"/>
      <c r="J155" s="17"/>
      <c r="K155" s="17"/>
      <c r="L155" s="31"/>
    </row>
    <row r="156" spans="2:12" x14ac:dyDescent="0.2">
      <c r="B156" s="28"/>
      <c r="C156" s="16"/>
      <c r="D156" s="17"/>
      <c r="E156" s="17"/>
      <c r="F156" s="17"/>
      <c r="G156" s="17"/>
      <c r="H156" s="17"/>
      <c r="I156" s="17"/>
      <c r="J156" s="17"/>
      <c r="K156" s="17"/>
      <c r="L156" s="31"/>
    </row>
    <row r="157" spans="2:12" x14ac:dyDescent="0.2">
      <c r="B157" s="28"/>
      <c r="C157" s="16"/>
      <c r="D157" s="17"/>
      <c r="E157" s="17"/>
      <c r="F157" s="17"/>
      <c r="G157" s="17"/>
      <c r="H157" s="17"/>
      <c r="I157" s="17"/>
      <c r="J157" s="17"/>
      <c r="K157" s="17"/>
      <c r="L157" s="31"/>
    </row>
    <row r="158" spans="2:12" x14ac:dyDescent="0.2">
      <c r="B158" s="28"/>
      <c r="C158" s="16"/>
      <c r="D158" s="17"/>
      <c r="E158" s="17"/>
      <c r="F158" s="17"/>
      <c r="G158" s="17"/>
      <c r="H158" s="17"/>
      <c r="I158" s="17"/>
      <c r="J158" s="17"/>
      <c r="K158" s="17"/>
      <c r="L158" s="31"/>
    </row>
    <row r="159" spans="2:12" x14ac:dyDescent="0.2">
      <c r="B159" s="28"/>
      <c r="C159" s="16"/>
      <c r="D159" s="17"/>
      <c r="E159" s="17"/>
      <c r="F159" s="17"/>
      <c r="G159" s="17"/>
      <c r="H159" s="17"/>
      <c r="I159" s="17"/>
      <c r="J159" s="17"/>
      <c r="K159" s="17"/>
      <c r="L159" s="31"/>
    </row>
    <row r="160" spans="2:12" x14ac:dyDescent="0.2">
      <c r="B160" s="28"/>
      <c r="C160" s="16"/>
      <c r="D160" s="17"/>
      <c r="E160" s="17"/>
      <c r="F160" s="17"/>
      <c r="G160" s="17"/>
      <c r="H160" s="17"/>
      <c r="I160" s="17"/>
      <c r="J160" s="17"/>
      <c r="K160" s="17"/>
      <c r="L160" s="31"/>
    </row>
    <row r="161" spans="2:12" x14ac:dyDescent="0.2">
      <c r="B161" s="28"/>
      <c r="C161" s="16"/>
      <c r="D161" s="17"/>
      <c r="E161" s="17"/>
      <c r="F161" s="17"/>
      <c r="G161" s="17"/>
      <c r="H161" s="17"/>
      <c r="I161" s="17"/>
      <c r="J161" s="17"/>
      <c r="K161" s="17"/>
      <c r="L161" s="31"/>
    </row>
    <row r="162" spans="2:12" x14ac:dyDescent="0.2">
      <c r="B162" s="28"/>
      <c r="C162" s="16"/>
      <c r="D162" s="17"/>
      <c r="E162" s="17"/>
      <c r="F162" s="17"/>
      <c r="G162" s="17"/>
      <c r="H162" s="17"/>
      <c r="I162" s="17"/>
      <c r="J162" s="17"/>
      <c r="K162" s="17"/>
      <c r="L162" s="31"/>
    </row>
    <row r="163" spans="2:12" x14ac:dyDescent="0.2">
      <c r="B163" s="28"/>
      <c r="C163" s="16"/>
      <c r="D163" s="17"/>
      <c r="E163" s="17"/>
      <c r="F163" s="17"/>
      <c r="G163" s="17"/>
      <c r="H163" s="17"/>
      <c r="I163" s="17"/>
      <c r="J163" s="17"/>
      <c r="K163" s="17"/>
      <c r="L163" s="31"/>
    </row>
    <row r="164" spans="2:12" x14ac:dyDescent="0.2">
      <c r="B164" s="28"/>
      <c r="C164" s="16"/>
      <c r="D164" s="17"/>
      <c r="E164" s="17"/>
      <c r="F164" s="17"/>
      <c r="G164" s="17"/>
      <c r="H164" s="17"/>
      <c r="I164" s="17"/>
      <c r="J164" s="17"/>
      <c r="K164" s="17"/>
      <c r="L164" s="31"/>
    </row>
    <row r="165" spans="2:12" x14ac:dyDescent="0.2">
      <c r="B165" s="28"/>
      <c r="C165" s="16"/>
      <c r="D165" s="17"/>
      <c r="E165" s="17"/>
      <c r="F165" s="17"/>
      <c r="G165" s="17"/>
      <c r="H165" s="17"/>
      <c r="I165" s="17"/>
      <c r="J165" s="17"/>
      <c r="K165" s="17"/>
      <c r="L165" s="31"/>
    </row>
    <row r="166" spans="2:12" x14ac:dyDescent="0.2">
      <c r="B166" s="28"/>
      <c r="C166" s="16"/>
      <c r="D166" s="17"/>
      <c r="E166" s="17"/>
      <c r="F166" s="17"/>
      <c r="G166" s="17"/>
      <c r="H166" s="17"/>
      <c r="I166" s="17"/>
      <c r="J166" s="17"/>
      <c r="K166" s="17"/>
      <c r="L166" s="31"/>
    </row>
    <row r="167" spans="2:12" x14ac:dyDescent="0.2">
      <c r="B167" s="28"/>
      <c r="C167" s="16"/>
      <c r="D167" s="17"/>
      <c r="E167" s="17"/>
      <c r="F167" s="17"/>
      <c r="G167" s="17"/>
      <c r="H167" s="17"/>
      <c r="I167" s="17"/>
      <c r="J167" s="17"/>
      <c r="K167" s="17"/>
      <c r="L167" s="31"/>
    </row>
    <row r="168" spans="2:12" x14ac:dyDescent="0.2">
      <c r="B168" s="28"/>
      <c r="C168" s="16"/>
      <c r="D168" s="17"/>
      <c r="E168" s="17"/>
      <c r="F168" s="17"/>
      <c r="G168" s="17"/>
      <c r="H168" s="17"/>
      <c r="I168" s="17"/>
      <c r="J168" s="17"/>
      <c r="K168" s="17"/>
      <c r="L168" s="31"/>
    </row>
    <row r="169" spans="2:12" x14ac:dyDescent="0.2">
      <c r="B169" s="28"/>
      <c r="C169" s="16"/>
      <c r="D169" s="17"/>
      <c r="E169" s="17"/>
      <c r="F169" s="17"/>
      <c r="G169" s="17"/>
      <c r="H169" s="17"/>
      <c r="I169" s="17"/>
      <c r="J169" s="17"/>
      <c r="K169" s="17"/>
      <c r="L169" s="31"/>
    </row>
    <row r="170" spans="2:12" x14ac:dyDescent="0.2">
      <c r="B170" s="28"/>
      <c r="C170" s="16"/>
      <c r="D170" s="17"/>
      <c r="E170" s="17"/>
      <c r="F170" s="17"/>
      <c r="G170" s="17"/>
      <c r="H170" s="17"/>
      <c r="I170" s="17"/>
      <c r="J170" s="17"/>
      <c r="K170" s="17"/>
      <c r="L170" s="31"/>
    </row>
    <row r="171" spans="2:12" x14ac:dyDescent="0.2">
      <c r="B171" s="28"/>
      <c r="C171" s="16"/>
      <c r="D171" s="17"/>
      <c r="E171" s="17"/>
      <c r="F171" s="17"/>
      <c r="G171" s="17"/>
      <c r="H171" s="17"/>
      <c r="I171" s="17"/>
      <c r="J171" s="17"/>
      <c r="K171" s="17"/>
      <c r="L171" s="31"/>
    </row>
    <row r="172" spans="2:12" x14ac:dyDescent="0.2">
      <c r="B172" s="28"/>
      <c r="C172" s="16"/>
      <c r="D172" s="17"/>
      <c r="E172" s="17"/>
      <c r="F172" s="17"/>
      <c r="G172" s="17"/>
      <c r="H172" s="17"/>
      <c r="I172" s="17"/>
      <c r="J172" s="17"/>
      <c r="K172" s="17"/>
      <c r="L172" s="31"/>
    </row>
    <row r="173" spans="2:12" x14ac:dyDescent="0.2">
      <c r="B173" s="28"/>
      <c r="C173" s="16"/>
      <c r="D173" s="17"/>
      <c r="E173" s="17"/>
      <c r="F173" s="17"/>
      <c r="G173" s="17"/>
      <c r="H173" s="17"/>
      <c r="I173" s="17"/>
      <c r="J173" s="17"/>
      <c r="K173" s="17"/>
      <c r="L173" s="31"/>
    </row>
    <row r="174" spans="2:12" x14ac:dyDescent="0.2">
      <c r="B174" s="28"/>
      <c r="C174" s="16"/>
      <c r="D174" s="17"/>
      <c r="E174" s="17"/>
      <c r="F174" s="17"/>
      <c r="G174" s="17"/>
      <c r="H174" s="17"/>
      <c r="I174" s="17"/>
      <c r="J174" s="17"/>
      <c r="K174" s="17"/>
      <c r="L174" s="31"/>
    </row>
    <row r="175" spans="2:12" x14ac:dyDescent="0.2">
      <c r="B175" s="28"/>
      <c r="C175" s="16"/>
      <c r="D175" s="17"/>
      <c r="E175" s="17"/>
      <c r="F175" s="17"/>
      <c r="G175" s="17"/>
      <c r="H175" s="17"/>
      <c r="I175" s="17"/>
      <c r="J175" s="17"/>
      <c r="K175" s="17"/>
      <c r="L175" s="31"/>
    </row>
    <row r="176" spans="2:12" x14ac:dyDescent="0.2">
      <c r="B176" s="28"/>
      <c r="C176" s="16"/>
      <c r="D176" s="17"/>
      <c r="E176" s="17"/>
      <c r="F176" s="17"/>
      <c r="G176" s="17"/>
      <c r="H176" s="17"/>
      <c r="I176" s="17"/>
      <c r="J176" s="17"/>
      <c r="K176" s="17"/>
      <c r="L176" s="31"/>
    </row>
    <row r="177" spans="2:12" x14ac:dyDescent="0.2">
      <c r="B177" s="28"/>
      <c r="C177" s="16"/>
      <c r="D177" s="17"/>
      <c r="E177" s="17"/>
      <c r="F177" s="17"/>
      <c r="G177" s="17"/>
      <c r="H177" s="17"/>
      <c r="I177" s="17"/>
      <c r="J177" s="17"/>
      <c r="K177" s="17"/>
      <c r="L177" s="31"/>
    </row>
    <row r="178" spans="2:12" x14ac:dyDescent="0.2">
      <c r="B178" s="28"/>
      <c r="C178" s="16"/>
      <c r="D178" s="17"/>
      <c r="E178" s="17"/>
      <c r="F178" s="17"/>
      <c r="G178" s="17"/>
      <c r="H178" s="17"/>
      <c r="I178" s="17"/>
      <c r="J178" s="17"/>
      <c r="K178" s="17"/>
      <c r="L178" s="31"/>
    </row>
    <row r="179" spans="2:12" x14ac:dyDescent="0.2">
      <c r="B179" s="28"/>
      <c r="C179" s="16"/>
      <c r="D179" s="17"/>
      <c r="E179" s="17"/>
      <c r="F179" s="17"/>
      <c r="G179" s="17"/>
      <c r="H179" s="17"/>
      <c r="I179" s="17"/>
      <c r="J179" s="17"/>
      <c r="K179" s="17"/>
      <c r="L179" s="31"/>
    </row>
    <row r="180" spans="2:12" x14ac:dyDescent="0.2">
      <c r="B180" s="28"/>
      <c r="C180" s="16"/>
      <c r="D180" s="17"/>
      <c r="E180" s="17"/>
      <c r="F180" s="17"/>
      <c r="G180" s="17"/>
      <c r="H180" s="17"/>
      <c r="I180" s="17"/>
      <c r="J180" s="17"/>
      <c r="K180" s="17"/>
      <c r="L180" s="31"/>
    </row>
    <row r="181" spans="2:12" x14ac:dyDescent="0.2">
      <c r="B181" s="28"/>
      <c r="C181" s="16"/>
      <c r="D181" s="17"/>
      <c r="E181" s="17"/>
      <c r="F181" s="17"/>
      <c r="G181" s="17"/>
      <c r="H181" s="17"/>
      <c r="I181" s="17"/>
      <c r="J181" s="17"/>
      <c r="K181" s="17"/>
      <c r="L181" s="31"/>
    </row>
    <row r="182" spans="2:12" x14ac:dyDescent="0.2">
      <c r="B182" s="28"/>
      <c r="C182" s="16"/>
      <c r="D182" s="17"/>
      <c r="E182" s="17"/>
      <c r="F182" s="17"/>
      <c r="G182" s="17"/>
      <c r="H182" s="17"/>
      <c r="I182" s="17"/>
      <c r="J182" s="17"/>
      <c r="K182" s="17"/>
      <c r="L182" s="31"/>
    </row>
    <row r="183" spans="2:12" x14ac:dyDescent="0.2">
      <c r="B183" s="28"/>
      <c r="C183" s="16"/>
      <c r="D183" s="17"/>
      <c r="E183" s="17"/>
      <c r="F183" s="17"/>
      <c r="G183" s="17"/>
      <c r="H183" s="17"/>
      <c r="I183" s="17"/>
      <c r="J183" s="17"/>
      <c r="K183" s="17"/>
      <c r="L183" s="31"/>
    </row>
    <row r="184" spans="2:12" x14ac:dyDescent="0.2">
      <c r="B184" s="28"/>
      <c r="C184" s="16"/>
      <c r="D184" s="17"/>
      <c r="E184" s="17"/>
      <c r="F184" s="17"/>
      <c r="G184" s="17"/>
      <c r="H184" s="17"/>
      <c r="I184" s="17"/>
      <c r="J184" s="17"/>
      <c r="K184" s="17"/>
      <c r="L184" s="31"/>
    </row>
    <row r="185" spans="2:12" x14ac:dyDescent="0.2">
      <c r="B185" s="28"/>
      <c r="C185" s="16"/>
      <c r="D185" s="17"/>
      <c r="E185" s="17"/>
      <c r="F185" s="17"/>
      <c r="G185" s="17"/>
      <c r="H185" s="17"/>
      <c r="I185" s="17"/>
      <c r="J185" s="17"/>
      <c r="K185" s="17"/>
      <c r="L185" s="31"/>
    </row>
    <row r="186" spans="2:12" x14ac:dyDescent="0.2">
      <c r="B186" s="28"/>
      <c r="C186" s="16"/>
      <c r="D186" s="17"/>
      <c r="E186" s="17"/>
      <c r="F186" s="17"/>
      <c r="G186" s="17"/>
      <c r="H186" s="17"/>
      <c r="I186" s="17"/>
      <c r="J186" s="17"/>
      <c r="K186" s="17"/>
      <c r="L186" s="31"/>
    </row>
    <row r="187" spans="2:12" x14ac:dyDescent="0.2">
      <c r="B187" s="28"/>
      <c r="C187" s="16"/>
      <c r="D187" s="17"/>
      <c r="E187" s="17"/>
      <c r="F187" s="17"/>
      <c r="G187" s="17"/>
      <c r="H187" s="17"/>
      <c r="I187" s="17"/>
      <c r="J187" s="17"/>
      <c r="K187" s="17"/>
      <c r="L187" s="31"/>
    </row>
    <row r="188" spans="2:12" x14ac:dyDescent="0.2">
      <c r="B188" s="28"/>
      <c r="C188" s="16"/>
      <c r="D188" s="17"/>
      <c r="E188" s="17"/>
      <c r="F188" s="17"/>
      <c r="G188" s="17"/>
      <c r="H188" s="17"/>
      <c r="I188" s="17"/>
      <c r="J188" s="17"/>
      <c r="K188" s="17"/>
      <c r="L188" s="31"/>
    </row>
    <row r="189" spans="2:12" x14ac:dyDescent="0.2">
      <c r="B189" s="28"/>
      <c r="C189" s="16"/>
      <c r="D189" s="17"/>
      <c r="E189" s="17"/>
      <c r="F189" s="17"/>
      <c r="G189" s="17"/>
      <c r="H189" s="17"/>
      <c r="I189" s="17"/>
      <c r="J189" s="17"/>
      <c r="K189" s="17"/>
      <c r="L189" s="31"/>
    </row>
    <row r="190" spans="2:12" x14ac:dyDescent="0.2">
      <c r="B190" s="28"/>
      <c r="C190" s="16"/>
      <c r="D190" s="17"/>
      <c r="E190" s="17"/>
      <c r="F190" s="17"/>
      <c r="G190" s="17"/>
      <c r="H190" s="17"/>
      <c r="I190" s="17"/>
      <c r="J190" s="17"/>
      <c r="K190" s="17"/>
      <c r="L190" s="31"/>
    </row>
    <row r="191" spans="2:12" x14ac:dyDescent="0.2">
      <c r="B191" s="28"/>
      <c r="C191" s="16"/>
      <c r="D191" s="17"/>
      <c r="E191" s="17"/>
      <c r="F191" s="17"/>
      <c r="G191" s="17"/>
      <c r="H191" s="17"/>
      <c r="I191" s="17"/>
      <c r="J191" s="17"/>
      <c r="K191" s="17"/>
      <c r="L191" s="31"/>
    </row>
    <row r="192" spans="2:12" x14ac:dyDescent="0.2">
      <c r="B192" s="28"/>
      <c r="C192" s="16"/>
      <c r="D192" s="17"/>
      <c r="E192" s="17"/>
      <c r="F192" s="17"/>
      <c r="G192" s="17"/>
      <c r="H192" s="17"/>
      <c r="I192" s="17"/>
      <c r="J192" s="17"/>
      <c r="K192" s="17"/>
      <c r="L192" s="31"/>
    </row>
    <row r="193" spans="2:12" x14ac:dyDescent="0.2">
      <c r="B193" s="28"/>
      <c r="C193" s="16"/>
      <c r="D193" s="17"/>
      <c r="E193" s="17"/>
      <c r="F193" s="17"/>
      <c r="G193" s="17"/>
      <c r="H193" s="17"/>
      <c r="I193" s="17"/>
      <c r="J193" s="17"/>
      <c r="K193" s="17"/>
      <c r="L193" s="31"/>
    </row>
    <row r="194" spans="2:12" x14ac:dyDescent="0.2">
      <c r="B194" s="28"/>
      <c r="C194" s="16"/>
      <c r="D194" s="17"/>
      <c r="E194" s="17"/>
      <c r="F194" s="17"/>
      <c r="G194" s="17"/>
      <c r="H194" s="17"/>
      <c r="I194" s="17"/>
      <c r="J194" s="17"/>
      <c r="K194" s="17"/>
      <c r="L194" s="31"/>
    </row>
    <row r="195" spans="2:12" x14ac:dyDescent="0.2">
      <c r="B195" s="28"/>
      <c r="C195" s="16"/>
      <c r="D195" s="17"/>
      <c r="E195" s="17"/>
      <c r="F195" s="17"/>
      <c r="G195" s="17"/>
      <c r="H195" s="17"/>
      <c r="I195" s="17"/>
      <c r="J195" s="17"/>
      <c r="K195" s="17"/>
      <c r="L195" s="31"/>
    </row>
    <row r="196" spans="2:12" x14ac:dyDescent="0.2">
      <c r="B196" s="28"/>
      <c r="C196" s="16"/>
      <c r="D196" s="17"/>
      <c r="E196" s="17"/>
      <c r="F196" s="17"/>
      <c r="G196" s="17"/>
      <c r="H196" s="17"/>
      <c r="I196" s="17"/>
      <c r="J196" s="17"/>
      <c r="K196" s="17"/>
      <c r="L196" s="31"/>
    </row>
    <row r="197" spans="2:12" x14ac:dyDescent="0.2">
      <c r="B197" s="28"/>
      <c r="C197" s="16"/>
      <c r="D197" s="17"/>
      <c r="E197" s="17"/>
      <c r="F197" s="17"/>
      <c r="G197" s="17"/>
      <c r="H197" s="17"/>
      <c r="I197" s="17"/>
      <c r="J197" s="17"/>
      <c r="K197" s="17"/>
      <c r="L197" s="31"/>
    </row>
    <row r="198" spans="2:12" x14ac:dyDescent="0.2">
      <c r="B198" s="28"/>
      <c r="C198" s="16"/>
      <c r="D198" s="17"/>
      <c r="E198" s="17"/>
      <c r="F198" s="17"/>
      <c r="G198" s="17"/>
      <c r="H198" s="17"/>
      <c r="I198" s="17"/>
      <c r="J198" s="17"/>
      <c r="K198" s="17"/>
      <c r="L198" s="31"/>
    </row>
    <row r="199" spans="2:12" x14ac:dyDescent="0.2">
      <c r="B199" s="28"/>
      <c r="C199" s="16"/>
      <c r="D199" s="17"/>
      <c r="E199" s="17"/>
      <c r="F199" s="17"/>
      <c r="G199" s="17"/>
      <c r="H199" s="17"/>
      <c r="I199" s="17"/>
      <c r="J199" s="17"/>
      <c r="K199" s="17"/>
      <c r="L199" s="31"/>
    </row>
    <row r="200" spans="2:12" x14ac:dyDescent="0.2">
      <c r="B200" s="28"/>
      <c r="C200" s="16"/>
      <c r="D200" s="17"/>
      <c r="E200" s="17"/>
      <c r="F200" s="17"/>
      <c r="G200" s="17"/>
      <c r="H200" s="17"/>
      <c r="I200" s="17"/>
      <c r="J200" s="17"/>
      <c r="K200" s="17"/>
      <c r="L200" s="31"/>
    </row>
    <row r="201" spans="2:12" x14ac:dyDescent="0.2">
      <c r="B201" s="28"/>
      <c r="C201" s="16"/>
      <c r="D201" s="17"/>
      <c r="E201" s="17"/>
      <c r="F201" s="17"/>
      <c r="G201" s="17"/>
      <c r="H201" s="17"/>
      <c r="I201" s="17"/>
      <c r="J201" s="17"/>
      <c r="K201" s="17"/>
      <c r="L201" s="31"/>
    </row>
    <row r="202" spans="2:12" x14ac:dyDescent="0.2">
      <c r="B202" s="28"/>
      <c r="C202" s="16"/>
      <c r="D202" s="17"/>
      <c r="E202" s="17"/>
      <c r="F202" s="17"/>
      <c r="G202" s="17"/>
      <c r="H202" s="17"/>
      <c r="I202" s="17"/>
      <c r="J202" s="17"/>
      <c r="K202" s="17"/>
      <c r="L202" s="31"/>
    </row>
    <row r="203" spans="2:12" x14ac:dyDescent="0.2">
      <c r="B203" s="28"/>
      <c r="C203" s="16"/>
      <c r="D203" s="17"/>
      <c r="E203" s="17"/>
      <c r="F203" s="17"/>
      <c r="G203" s="17"/>
      <c r="H203" s="17"/>
      <c r="I203" s="17"/>
      <c r="J203" s="17"/>
      <c r="K203" s="17"/>
      <c r="L203" s="31"/>
    </row>
    <row r="204" spans="2:12" x14ac:dyDescent="0.2">
      <c r="B204" s="28"/>
      <c r="C204" s="16"/>
      <c r="D204" s="17"/>
      <c r="E204" s="17"/>
      <c r="F204" s="17"/>
      <c r="G204" s="17"/>
      <c r="H204" s="17"/>
      <c r="I204" s="17"/>
      <c r="J204" s="17"/>
      <c r="K204" s="17"/>
      <c r="L204" s="31"/>
    </row>
    <row r="205" spans="2:12" x14ac:dyDescent="0.2">
      <c r="B205" s="28"/>
      <c r="C205" s="16"/>
      <c r="D205" s="17"/>
      <c r="E205" s="17"/>
      <c r="F205" s="17"/>
      <c r="G205" s="17"/>
      <c r="H205" s="17"/>
      <c r="I205" s="17"/>
      <c r="J205" s="17"/>
      <c r="K205" s="17"/>
      <c r="L205" s="31"/>
    </row>
    <row r="206" spans="2:12" x14ac:dyDescent="0.2">
      <c r="B206" s="28"/>
      <c r="C206" s="16"/>
      <c r="D206" s="17"/>
      <c r="E206" s="17"/>
      <c r="F206" s="17"/>
      <c r="G206" s="17"/>
      <c r="H206" s="17"/>
      <c r="I206" s="17"/>
      <c r="J206" s="17"/>
      <c r="K206" s="17"/>
      <c r="L206" s="31"/>
    </row>
    <row r="207" spans="2:12" x14ac:dyDescent="0.2">
      <c r="B207" s="28"/>
      <c r="C207" s="16"/>
      <c r="D207" s="17"/>
      <c r="E207" s="17"/>
      <c r="F207" s="17"/>
      <c r="G207" s="17"/>
      <c r="H207" s="17"/>
      <c r="I207" s="17"/>
      <c r="J207" s="17"/>
      <c r="K207" s="17"/>
      <c r="L207" s="31"/>
    </row>
    <row r="208" spans="2:12" x14ac:dyDescent="0.2">
      <c r="B208" s="28"/>
      <c r="C208" s="16"/>
      <c r="D208" s="17"/>
      <c r="E208" s="17"/>
      <c r="F208" s="17"/>
      <c r="G208" s="17"/>
      <c r="H208" s="17"/>
      <c r="I208" s="17"/>
      <c r="J208" s="17"/>
      <c r="K208" s="17"/>
      <c r="L208" s="31"/>
    </row>
    <row r="209" spans="2:12" x14ac:dyDescent="0.2">
      <c r="B209" s="28"/>
      <c r="C209" s="16"/>
      <c r="D209" s="17"/>
      <c r="E209" s="17"/>
      <c r="F209" s="17"/>
      <c r="G209" s="17"/>
      <c r="H209" s="17"/>
      <c r="I209" s="17"/>
      <c r="J209" s="17"/>
      <c r="K209" s="17"/>
      <c r="L209" s="31"/>
    </row>
    <row r="210" spans="2:12" x14ac:dyDescent="0.2">
      <c r="B210" s="28"/>
      <c r="C210" s="16"/>
      <c r="D210" s="17"/>
      <c r="E210" s="17"/>
      <c r="F210" s="17"/>
      <c r="G210" s="17"/>
      <c r="H210" s="17"/>
      <c r="I210" s="17"/>
      <c r="J210" s="17"/>
      <c r="K210" s="17"/>
      <c r="L210" s="31"/>
    </row>
    <row r="211" spans="2:12" x14ac:dyDescent="0.2">
      <c r="B211" s="28"/>
      <c r="C211" s="16"/>
      <c r="D211" s="17"/>
      <c r="E211" s="17"/>
      <c r="F211" s="17"/>
      <c r="G211" s="17"/>
      <c r="H211" s="17"/>
      <c r="I211" s="17"/>
      <c r="J211" s="17"/>
      <c r="K211" s="17"/>
      <c r="L211" s="31"/>
    </row>
    <row r="212" spans="2:12" x14ac:dyDescent="0.2">
      <c r="B212" s="28"/>
      <c r="C212" s="16"/>
      <c r="D212" s="17"/>
      <c r="E212" s="17"/>
      <c r="F212" s="17"/>
      <c r="G212" s="17"/>
      <c r="H212" s="17"/>
      <c r="I212" s="17"/>
      <c r="J212" s="17"/>
      <c r="K212" s="17"/>
      <c r="L212" s="31"/>
    </row>
    <row r="213" spans="2:12" x14ac:dyDescent="0.2">
      <c r="B213" s="28"/>
      <c r="C213" s="16"/>
      <c r="D213" s="17"/>
      <c r="E213" s="17"/>
      <c r="F213" s="17"/>
      <c r="G213" s="17"/>
      <c r="H213" s="17"/>
      <c r="I213" s="17"/>
      <c r="J213" s="17"/>
      <c r="K213" s="17"/>
      <c r="L213" s="31"/>
    </row>
    <row r="214" spans="2:12" x14ac:dyDescent="0.2">
      <c r="B214" s="28"/>
      <c r="C214" s="16"/>
      <c r="D214" s="17"/>
      <c r="E214" s="17"/>
      <c r="F214" s="17"/>
      <c r="G214" s="17"/>
      <c r="H214" s="17"/>
      <c r="I214" s="17"/>
      <c r="J214" s="17"/>
      <c r="K214" s="17"/>
      <c r="L214" s="31"/>
    </row>
    <row r="215" spans="2:12" x14ac:dyDescent="0.2">
      <c r="B215" s="28"/>
      <c r="C215" s="16"/>
      <c r="D215" s="17"/>
      <c r="E215" s="17"/>
      <c r="F215" s="17"/>
      <c r="G215" s="17"/>
      <c r="H215" s="17"/>
      <c r="I215" s="17"/>
      <c r="J215" s="17"/>
      <c r="K215" s="17"/>
      <c r="L215" s="31"/>
    </row>
    <row r="216" spans="2:12" x14ac:dyDescent="0.2">
      <c r="B216" s="28"/>
      <c r="C216" s="16"/>
      <c r="D216" s="17"/>
      <c r="E216" s="17"/>
      <c r="F216" s="17"/>
      <c r="G216" s="17"/>
      <c r="H216" s="17"/>
      <c r="I216" s="17"/>
      <c r="J216" s="17"/>
      <c r="K216" s="17"/>
      <c r="L216" s="31"/>
    </row>
    <row r="217" spans="2:12" x14ac:dyDescent="0.2">
      <c r="B217" s="28"/>
      <c r="C217" s="16"/>
      <c r="D217" s="17"/>
      <c r="E217" s="17"/>
      <c r="F217" s="17"/>
      <c r="G217" s="17"/>
      <c r="H217" s="17"/>
      <c r="I217" s="17"/>
      <c r="J217" s="17"/>
      <c r="K217" s="17"/>
      <c r="L217" s="31"/>
    </row>
    <row r="218" spans="2:12" x14ac:dyDescent="0.2">
      <c r="B218" s="28"/>
      <c r="C218" s="16"/>
      <c r="D218" s="17"/>
      <c r="E218" s="17"/>
      <c r="F218" s="17"/>
      <c r="G218" s="17"/>
      <c r="H218" s="17"/>
      <c r="I218" s="17"/>
      <c r="J218" s="17"/>
      <c r="K218" s="17"/>
      <c r="L218" s="31"/>
    </row>
    <row r="219" spans="2:12" x14ac:dyDescent="0.2">
      <c r="B219" s="28"/>
      <c r="C219" s="16"/>
      <c r="D219" s="17"/>
      <c r="E219" s="17"/>
      <c r="F219" s="17"/>
      <c r="G219" s="17"/>
      <c r="H219" s="17"/>
      <c r="I219" s="17"/>
      <c r="J219" s="17"/>
      <c r="K219" s="17"/>
      <c r="L219" s="31"/>
    </row>
    <row r="220" spans="2:12" x14ac:dyDescent="0.2">
      <c r="B220" s="28"/>
      <c r="C220" s="16"/>
      <c r="D220" s="17"/>
      <c r="E220" s="17"/>
      <c r="F220" s="17"/>
      <c r="G220" s="17"/>
      <c r="H220" s="17"/>
      <c r="I220" s="17"/>
      <c r="J220" s="17"/>
      <c r="K220" s="17"/>
      <c r="L220" s="31"/>
    </row>
    <row r="221" spans="2:12" x14ac:dyDescent="0.2">
      <c r="B221" s="28"/>
      <c r="C221" s="16"/>
      <c r="D221" s="17"/>
      <c r="E221" s="17"/>
      <c r="F221" s="17"/>
      <c r="G221" s="17"/>
      <c r="H221" s="17"/>
      <c r="I221" s="17"/>
      <c r="J221" s="17"/>
      <c r="K221" s="17"/>
      <c r="L221" s="31"/>
    </row>
    <row r="222" spans="2:12" x14ac:dyDescent="0.2">
      <c r="B222" s="28"/>
      <c r="C222" s="16"/>
      <c r="D222" s="17"/>
      <c r="E222" s="17"/>
      <c r="F222" s="17"/>
      <c r="G222" s="17"/>
      <c r="H222" s="17"/>
      <c r="I222" s="17"/>
      <c r="J222" s="17"/>
      <c r="K222" s="17"/>
      <c r="L222" s="31"/>
    </row>
    <row r="223" spans="2:12" x14ac:dyDescent="0.2">
      <c r="B223" s="28"/>
      <c r="C223" s="16"/>
      <c r="D223" s="17"/>
      <c r="E223" s="17"/>
      <c r="F223" s="17"/>
      <c r="G223" s="17"/>
      <c r="H223" s="17"/>
      <c r="I223" s="17"/>
      <c r="J223" s="17"/>
      <c r="K223" s="17"/>
      <c r="L223" s="31"/>
    </row>
    <row r="224" spans="2:12" x14ac:dyDescent="0.2">
      <c r="B224" s="28"/>
      <c r="C224" s="16"/>
      <c r="D224" s="17"/>
      <c r="E224" s="17"/>
      <c r="F224" s="17"/>
      <c r="G224" s="17"/>
      <c r="H224" s="17"/>
      <c r="I224" s="17"/>
      <c r="J224" s="17"/>
      <c r="K224" s="17"/>
      <c r="L224" s="31"/>
    </row>
    <row r="225" spans="2:12" x14ac:dyDescent="0.2">
      <c r="B225" s="28"/>
      <c r="C225" s="16"/>
      <c r="D225" s="17"/>
      <c r="E225" s="17"/>
      <c r="F225" s="17"/>
      <c r="G225" s="17"/>
      <c r="H225" s="17"/>
      <c r="I225" s="17"/>
      <c r="J225" s="17"/>
      <c r="K225" s="17"/>
      <c r="L225" s="31"/>
    </row>
    <row r="226" spans="2:12" x14ac:dyDescent="0.2">
      <c r="B226" s="28"/>
      <c r="C226" s="16"/>
      <c r="D226" s="17"/>
      <c r="E226" s="17"/>
      <c r="F226" s="17"/>
      <c r="G226" s="17"/>
      <c r="H226" s="17"/>
      <c r="I226" s="17"/>
      <c r="J226" s="17"/>
      <c r="K226" s="17"/>
      <c r="L226" s="31"/>
    </row>
    <row r="227" spans="2:12" x14ac:dyDescent="0.2">
      <c r="B227" s="28"/>
      <c r="C227" s="16"/>
      <c r="D227" s="17"/>
      <c r="E227" s="17"/>
      <c r="F227" s="17"/>
      <c r="G227" s="17"/>
      <c r="H227" s="17"/>
      <c r="I227" s="17"/>
      <c r="J227" s="17"/>
      <c r="K227" s="17"/>
      <c r="L227" s="31"/>
    </row>
    <row r="228" spans="2:12" x14ac:dyDescent="0.2">
      <c r="B228" s="28"/>
      <c r="C228" s="16"/>
      <c r="D228" s="17"/>
      <c r="E228" s="17"/>
      <c r="F228" s="17"/>
      <c r="G228" s="17"/>
      <c r="H228" s="17"/>
      <c r="I228" s="17"/>
      <c r="J228" s="17"/>
      <c r="K228" s="17"/>
      <c r="L228" s="31"/>
    </row>
    <row r="229" spans="2:12" x14ac:dyDescent="0.2">
      <c r="B229" s="28"/>
      <c r="C229" s="16"/>
      <c r="D229" s="17"/>
      <c r="E229" s="17"/>
      <c r="F229" s="17"/>
      <c r="G229" s="17"/>
      <c r="H229" s="17"/>
      <c r="I229" s="17"/>
      <c r="J229" s="17"/>
      <c r="K229" s="17"/>
      <c r="L229" s="31"/>
    </row>
    <row r="230" spans="2:12" x14ac:dyDescent="0.2">
      <c r="B230" s="28"/>
      <c r="C230" s="16"/>
      <c r="D230" s="17"/>
      <c r="E230" s="17"/>
      <c r="F230" s="17"/>
      <c r="G230" s="17"/>
      <c r="H230" s="17"/>
      <c r="I230" s="17"/>
      <c r="J230" s="17"/>
      <c r="K230" s="17"/>
      <c r="L230" s="31"/>
    </row>
    <row r="231" spans="2:12" x14ac:dyDescent="0.2">
      <c r="B231" s="28"/>
      <c r="C231" s="16"/>
      <c r="D231" s="17"/>
      <c r="E231" s="17"/>
      <c r="F231" s="17"/>
      <c r="G231" s="17"/>
      <c r="H231" s="17"/>
      <c r="I231" s="17"/>
      <c r="J231" s="17"/>
      <c r="K231" s="17"/>
      <c r="L231" s="31"/>
    </row>
    <row r="232" spans="2:12" x14ac:dyDescent="0.2">
      <c r="B232" s="28"/>
      <c r="C232" s="16"/>
      <c r="D232" s="17"/>
      <c r="E232" s="17"/>
      <c r="F232" s="17"/>
      <c r="G232" s="17"/>
      <c r="H232" s="17"/>
      <c r="I232" s="17"/>
      <c r="J232" s="17"/>
      <c r="K232" s="17"/>
      <c r="L232" s="31"/>
    </row>
    <row r="233" spans="2:12" x14ac:dyDescent="0.2">
      <c r="B233" s="28"/>
      <c r="C233" s="16"/>
      <c r="D233" s="17"/>
      <c r="E233" s="17"/>
      <c r="F233" s="17"/>
      <c r="G233" s="17"/>
      <c r="H233" s="17"/>
      <c r="I233" s="17"/>
      <c r="J233" s="17"/>
      <c r="K233" s="17"/>
      <c r="L233" s="31"/>
    </row>
    <row r="234" spans="2:12" x14ac:dyDescent="0.2">
      <c r="B234" s="28"/>
      <c r="C234" s="16"/>
      <c r="D234" s="17"/>
      <c r="E234" s="17"/>
      <c r="F234" s="17"/>
      <c r="G234" s="17"/>
      <c r="H234" s="17"/>
      <c r="I234" s="17"/>
      <c r="J234" s="17"/>
      <c r="K234" s="17"/>
      <c r="L234" s="31"/>
    </row>
    <row r="235" spans="2:12" x14ac:dyDescent="0.2">
      <c r="B235" s="28"/>
      <c r="C235" s="16"/>
      <c r="D235" s="17"/>
      <c r="E235" s="17"/>
      <c r="F235" s="17"/>
      <c r="G235" s="17"/>
      <c r="H235" s="17"/>
      <c r="I235" s="17"/>
      <c r="J235" s="17"/>
      <c r="K235" s="17"/>
      <c r="L235" s="31"/>
    </row>
    <row r="236" spans="2:12" x14ac:dyDescent="0.2">
      <c r="B236" s="28"/>
      <c r="C236" s="16"/>
      <c r="D236" s="17"/>
      <c r="E236" s="17"/>
      <c r="F236" s="17"/>
      <c r="G236" s="17"/>
      <c r="H236" s="17"/>
      <c r="I236" s="17"/>
      <c r="J236" s="17"/>
      <c r="K236" s="17"/>
      <c r="L236" s="31"/>
    </row>
    <row r="237" spans="2:12" x14ac:dyDescent="0.2">
      <c r="B237" s="28"/>
      <c r="C237" s="16"/>
      <c r="D237" s="17"/>
      <c r="E237" s="17"/>
      <c r="F237" s="17"/>
      <c r="G237" s="17"/>
      <c r="H237" s="17"/>
      <c r="I237" s="17"/>
      <c r="J237" s="17"/>
      <c r="K237" s="17"/>
      <c r="L237" s="31"/>
    </row>
    <row r="238" spans="2:12" x14ac:dyDescent="0.2">
      <c r="B238" s="28"/>
      <c r="C238" s="16"/>
      <c r="D238" s="17"/>
      <c r="E238" s="17"/>
      <c r="F238" s="17"/>
      <c r="G238" s="17"/>
      <c r="H238" s="17"/>
      <c r="I238" s="17"/>
      <c r="J238" s="17"/>
      <c r="K238" s="17"/>
      <c r="L238" s="31"/>
    </row>
    <row r="239" spans="2:12" x14ac:dyDescent="0.2">
      <c r="B239" s="28"/>
      <c r="C239" s="16"/>
      <c r="D239" s="17"/>
      <c r="E239" s="17"/>
      <c r="F239" s="17"/>
      <c r="G239" s="17"/>
      <c r="H239" s="17"/>
      <c r="I239" s="17"/>
      <c r="J239" s="17"/>
      <c r="K239" s="17"/>
      <c r="L239" s="31"/>
    </row>
    <row r="240" spans="2:12" x14ac:dyDescent="0.2">
      <c r="B240" s="28"/>
      <c r="C240" s="16"/>
      <c r="D240" s="17"/>
      <c r="E240" s="17"/>
      <c r="F240" s="17"/>
      <c r="G240" s="17"/>
      <c r="H240" s="17"/>
      <c r="I240" s="17"/>
      <c r="J240" s="17"/>
      <c r="K240" s="17"/>
      <c r="L240" s="31"/>
    </row>
    <row r="241" spans="2:12" x14ac:dyDescent="0.2">
      <c r="B241" s="28"/>
      <c r="C241" s="16"/>
      <c r="D241" s="17"/>
      <c r="E241" s="17"/>
      <c r="F241" s="17"/>
      <c r="G241" s="17"/>
      <c r="H241" s="17"/>
      <c r="I241" s="17"/>
      <c r="J241" s="17"/>
      <c r="K241" s="17"/>
      <c r="L241" s="31"/>
    </row>
    <row r="242" spans="2:12" x14ac:dyDescent="0.2">
      <c r="B242" s="28"/>
      <c r="C242" s="16"/>
      <c r="D242" s="17"/>
      <c r="E242" s="17"/>
      <c r="F242" s="17"/>
      <c r="G242" s="17"/>
      <c r="H242" s="17"/>
      <c r="I242" s="17"/>
      <c r="J242" s="17"/>
      <c r="K242" s="17"/>
      <c r="L242" s="31"/>
    </row>
    <row r="243" spans="2:12" x14ac:dyDescent="0.2">
      <c r="B243" s="28"/>
      <c r="C243" s="16"/>
      <c r="D243" s="17"/>
      <c r="E243" s="17"/>
      <c r="F243" s="17"/>
      <c r="G243" s="17"/>
      <c r="H243" s="17"/>
      <c r="I243" s="17"/>
      <c r="J243" s="17"/>
      <c r="K243" s="17"/>
      <c r="L243" s="31"/>
    </row>
    <row r="244" spans="2:12" x14ac:dyDescent="0.2">
      <c r="B244" s="28"/>
      <c r="C244" s="16"/>
      <c r="D244" s="17"/>
      <c r="E244" s="17"/>
      <c r="F244" s="17"/>
      <c r="G244" s="17"/>
      <c r="H244" s="17"/>
      <c r="I244" s="17"/>
      <c r="J244" s="17"/>
      <c r="K244" s="17"/>
      <c r="L244" s="31"/>
    </row>
    <row r="245" spans="2:12" x14ac:dyDescent="0.2">
      <c r="B245" s="28"/>
      <c r="C245" s="16"/>
      <c r="D245" s="17"/>
      <c r="E245" s="17"/>
      <c r="F245" s="17"/>
      <c r="G245" s="17"/>
      <c r="H245" s="17"/>
      <c r="I245" s="17"/>
      <c r="J245" s="17"/>
      <c r="K245" s="17"/>
      <c r="L245" s="31"/>
    </row>
    <row r="246" spans="2:12" x14ac:dyDescent="0.2">
      <c r="B246" s="28"/>
      <c r="C246" s="16"/>
      <c r="D246" s="17"/>
      <c r="E246" s="17"/>
      <c r="F246" s="17"/>
      <c r="G246" s="17"/>
      <c r="H246" s="17"/>
      <c r="I246" s="17"/>
      <c r="J246" s="17"/>
      <c r="K246" s="17"/>
      <c r="L246" s="31"/>
    </row>
    <row r="247" spans="2:12" x14ac:dyDescent="0.2">
      <c r="B247" s="28"/>
      <c r="C247" s="16"/>
      <c r="D247" s="17"/>
      <c r="E247" s="17"/>
      <c r="F247" s="17"/>
      <c r="G247" s="17"/>
      <c r="H247" s="17"/>
      <c r="I247" s="17"/>
      <c r="J247" s="17"/>
      <c r="K247" s="17"/>
      <c r="L247" s="31"/>
    </row>
    <row r="248" spans="2:12" x14ac:dyDescent="0.2">
      <c r="B248" s="28"/>
      <c r="C248" s="16"/>
      <c r="D248" s="17"/>
      <c r="E248" s="17"/>
      <c r="F248" s="17"/>
      <c r="G248" s="17"/>
      <c r="H248" s="17"/>
      <c r="I248" s="17"/>
      <c r="J248" s="17"/>
      <c r="K248" s="17"/>
      <c r="L248" s="31"/>
    </row>
    <row r="249" spans="2:12" x14ac:dyDescent="0.2">
      <c r="B249" s="28"/>
      <c r="C249" s="16"/>
      <c r="D249" s="17"/>
      <c r="E249" s="17"/>
      <c r="F249" s="17"/>
      <c r="G249" s="17"/>
      <c r="H249" s="17"/>
      <c r="I249" s="17"/>
      <c r="J249" s="17"/>
      <c r="K249" s="17"/>
      <c r="L249" s="31"/>
    </row>
    <row r="250" spans="2:12" x14ac:dyDescent="0.2">
      <c r="B250" s="28"/>
      <c r="C250" s="16"/>
      <c r="D250" s="17"/>
      <c r="E250" s="17"/>
      <c r="F250" s="17"/>
      <c r="G250" s="17"/>
      <c r="H250" s="17"/>
      <c r="I250" s="17"/>
      <c r="J250" s="17"/>
      <c r="K250" s="17"/>
      <c r="L250" s="31"/>
    </row>
    <row r="251" spans="2:12" x14ac:dyDescent="0.2">
      <c r="B251" s="28"/>
      <c r="C251" s="16"/>
      <c r="D251" s="17"/>
      <c r="E251" s="17"/>
      <c r="F251" s="17"/>
      <c r="G251" s="17"/>
      <c r="H251" s="17"/>
      <c r="I251" s="17"/>
      <c r="J251" s="17"/>
      <c r="K251" s="17"/>
      <c r="L251" s="31"/>
    </row>
    <row r="252" spans="2:12" x14ac:dyDescent="0.2">
      <c r="B252" s="28"/>
      <c r="C252" s="16"/>
      <c r="D252" s="17"/>
      <c r="E252" s="17"/>
      <c r="F252" s="17"/>
      <c r="G252" s="17"/>
      <c r="H252" s="17"/>
      <c r="I252" s="17"/>
      <c r="J252" s="17"/>
      <c r="K252" s="17"/>
      <c r="L252" s="31"/>
    </row>
    <row r="253" spans="2:12" x14ac:dyDescent="0.2">
      <c r="B253" s="28"/>
      <c r="C253" s="16"/>
      <c r="D253" s="17"/>
      <c r="E253" s="17"/>
      <c r="F253" s="17"/>
      <c r="G253" s="17"/>
      <c r="H253" s="17"/>
      <c r="I253" s="17"/>
      <c r="J253" s="17"/>
      <c r="K253" s="17"/>
      <c r="L253" s="31"/>
    </row>
    <row r="254" spans="2:12" x14ac:dyDescent="0.2">
      <c r="B254" s="28"/>
      <c r="C254" s="16"/>
      <c r="D254" s="17"/>
      <c r="E254" s="17"/>
      <c r="F254" s="17"/>
      <c r="G254" s="17"/>
      <c r="H254" s="17"/>
      <c r="I254" s="17"/>
      <c r="J254" s="17"/>
      <c r="K254" s="17"/>
      <c r="L254" s="31"/>
    </row>
    <row r="255" spans="2:12" x14ac:dyDescent="0.2">
      <c r="B255" s="28"/>
      <c r="C255" s="16"/>
      <c r="D255" s="17"/>
      <c r="E255" s="17"/>
      <c r="F255" s="17"/>
      <c r="G255" s="17"/>
      <c r="H255" s="17"/>
      <c r="I255" s="17"/>
      <c r="J255" s="17"/>
      <c r="K255" s="17"/>
      <c r="L255" s="31"/>
    </row>
    <row r="256" spans="2:12" x14ac:dyDescent="0.2">
      <c r="B256" s="28"/>
      <c r="C256" s="16"/>
      <c r="D256" s="17"/>
      <c r="E256" s="17"/>
      <c r="F256" s="17"/>
      <c r="G256" s="17"/>
      <c r="H256" s="17"/>
      <c r="I256" s="17"/>
      <c r="J256" s="17"/>
      <c r="K256" s="17"/>
      <c r="L256" s="31"/>
    </row>
    <row r="257" spans="2:12" x14ac:dyDescent="0.2">
      <c r="B257" s="28"/>
      <c r="C257" s="16"/>
      <c r="D257" s="17"/>
      <c r="E257" s="17"/>
      <c r="F257" s="17"/>
      <c r="G257" s="17"/>
      <c r="H257" s="17"/>
      <c r="I257" s="17"/>
      <c r="J257" s="17"/>
      <c r="K257" s="17"/>
      <c r="L257" s="31"/>
    </row>
    <row r="258" spans="2:12" x14ac:dyDescent="0.2">
      <c r="B258" s="28"/>
      <c r="C258" s="16"/>
      <c r="D258" s="17"/>
      <c r="E258" s="17"/>
      <c r="F258" s="17"/>
      <c r="G258" s="17"/>
      <c r="H258" s="17"/>
      <c r="I258" s="17"/>
      <c r="J258" s="17"/>
      <c r="K258" s="17"/>
      <c r="L258" s="31"/>
    </row>
    <row r="259" spans="2:12" x14ac:dyDescent="0.2">
      <c r="B259" s="28"/>
      <c r="C259" s="16"/>
      <c r="D259" s="17"/>
      <c r="E259" s="17"/>
      <c r="F259" s="17"/>
      <c r="G259" s="17"/>
      <c r="H259" s="17"/>
      <c r="I259" s="17"/>
      <c r="J259" s="17"/>
      <c r="K259" s="17"/>
      <c r="L259" s="31"/>
    </row>
    <row r="260" spans="2:12" x14ac:dyDescent="0.2">
      <c r="B260" s="28"/>
      <c r="C260" s="16"/>
      <c r="D260" s="17"/>
      <c r="E260" s="17"/>
      <c r="F260" s="17"/>
      <c r="G260" s="17"/>
      <c r="H260" s="17"/>
      <c r="I260" s="17"/>
      <c r="J260" s="17"/>
      <c r="K260" s="17"/>
      <c r="L260" s="31"/>
    </row>
    <row r="261" spans="2:12" x14ac:dyDescent="0.2">
      <c r="B261" s="28"/>
      <c r="C261" s="16"/>
      <c r="D261" s="17"/>
      <c r="E261" s="17"/>
      <c r="F261" s="17"/>
      <c r="G261" s="17"/>
      <c r="H261" s="17"/>
      <c r="I261" s="17"/>
      <c r="J261" s="17"/>
      <c r="K261" s="17"/>
      <c r="L261" s="31"/>
    </row>
    <row r="262" spans="2:12" x14ac:dyDescent="0.2">
      <c r="B262" s="28"/>
      <c r="C262" s="16"/>
      <c r="D262" s="17"/>
      <c r="E262" s="17"/>
      <c r="F262" s="17"/>
      <c r="G262" s="17"/>
      <c r="H262" s="17"/>
      <c r="I262" s="17"/>
      <c r="J262" s="17"/>
      <c r="K262" s="17"/>
      <c r="L262" s="31"/>
    </row>
    <row r="263" spans="2:12" x14ac:dyDescent="0.2">
      <c r="B263" s="28"/>
      <c r="C263" s="16"/>
      <c r="D263" s="17"/>
      <c r="E263" s="17"/>
      <c r="F263" s="17"/>
      <c r="G263" s="17"/>
      <c r="H263" s="17"/>
      <c r="I263" s="17"/>
      <c r="J263" s="17"/>
      <c r="K263" s="17"/>
      <c r="L263" s="31"/>
    </row>
    <row r="264" spans="2:12" x14ac:dyDescent="0.2">
      <c r="B264" s="28"/>
      <c r="C264" s="16"/>
      <c r="D264" s="17"/>
      <c r="E264" s="17"/>
      <c r="F264" s="17"/>
      <c r="G264" s="17"/>
      <c r="H264" s="17"/>
      <c r="I264" s="17"/>
      <c r="J264" s="17"/>
      <c r="K264" s="17"/>
      <c r="L264" s="31"/>
    </row>
    <row r="265" spans="2:12" x14ac:dyDescent="0.2">
      <c r="B265" s="28"/>
      <c r="C265" s="16"/>
      <c r="D265" s="17"/>
      <c r="E265" s="17"/>
      <c r="F265" s="17"/>
      <c r="G265" s="17"/>
      <c r="H265" s="17"/>
      <c r="I265" s="17"/>
      <c r="J265" s="17"/>
      <c r="K265" s="17"/>
      <c r="L265" s="31"/>
    </row>
    <row r="266" spans="2:12" x14ac:dyDescent="0.2">
      <c r="B266" s="28"/>
      <c r="C266" s="16"/>
      <c r="D266" s="17"/>
      <c r="E266" s="17"/>
      <c r="F266" s="17"/>
      <c r="G266" s="17"/>
      <c r="H266" s="17"/>
      <c r="I266" s="17"/>
      <c r="J266" s="17"/>
      <c r="K266" s="17"/>
      <c r="L266" s="31"/>
    </row>
    <row r="267" spans="2:12" x14ac:dyDescent="0.2">
      <c r="B267" s="28"/>
      <c r="C267" s="16"/>
      <c r="D267" s="17"/>
      <c r="E267" s="17"/>
      <c r="F267" s="17"/>
      <c r="G267" s="17"/>
      <c r="H267" s="17"/>
      <c r="I267" s="17"/>
      <c r="J267" s="17"/>
      <c r="K267" s="17"/>
      <c r="L267" s="31"/>
    </row>
    <row r="268" spans="2:12" x14ac:dyDescent="0.2">
      <c r="B268" s="28"/>
      <c r="C268" s="16"/>
      <c r="D268" s="17"/>
      <c r="E268" s="17"/>
      <c r="F268" s="17"/>
      <c r="G268" s="17"/>
      <c r="H268" s="17"/>
      <c r="I268" s="17"/>
      <c r="J268" s="17"/>
      <c r="K268" s="17"/>
      <c r="L268" s="31"/>
    </row>
    <row r="269" spans="2:12" x14ac:dyDescent="0.2">
      <c r="B269" s="28"/>
      <c r="C269" s="16"/>
      <c r="D269" s="17"/>
      <c r="E269" s="17"/>
      <c r="F269" s="17"/>
      <c r="G269" s="17"/>
      <c r="H269" s="17"/>
      <c r="I269" s="17"/>
      <c r="J269" s="17"/>
      <c r="K269" s="17"/>
      <c r="L269" s="31"/>
    </row>
    <row r="270" spans="2:12" x14ac:dyDescent="0.2">
      <c r="B270" s="28"/>
      <c r="C270" s="16"/>
      <c r="D270" s="17"/>
      <c r="E270" s="17"/>
      <c r="F270" s="17"/>
      <c r="G270" s="17"/>
      <c r="H270" s="17"/>
      <c r="I270" s="17"/>
      <c r="J270" s="17"/>
      <c r="K270" s="17"/>
      <c r="L270" s="31"/>
    </row>
    <row r="271" spans="2:12" x14ac:dyDescent="0.2">
      <c r="B271" s="28"/>
      <c r="C271" s="16"/>
      <c r="D271" s="17"/>
      <c r="E271" s="17"/>
      <c r="F271" s="17"/>
      <c r="G271" s="17"/>
      <c r="H271" s="17"/>
      <c r="I271" s="17"/>
      <c r="J271" s="17"/>
      <c r="K271" s="17"/>
      <c r="L271" s="31"/>
    </row>
    <row r="272" spans="2:12" x14ac:dyDescent="0.2">
      <c r="B272" s="28"/>
      <c r="C272" s="16"/>
      <c r="D272" s="17"/>
      <c r="E272" s="17"/>
      <c r="F272" s="17"/>
      <c r="G272" s="17"/>
      <c r="H272" s="17"/>
      <c r="I272" s="17"/>
      <c r="J272" s="17"/>
      <c r="K272" s="17"/>
      <c r="L272" s="31"/>
    </row>
    <row r="273" spans="2:12" x14ac:dyDescent="0.2">
      <c r="B273" s="28"/>
      <c r="C273" s="16"/>
      <c r="D273" s="17"/>
      <c r="E273" s="17"/>
      <c r="F273" s="17"/>
      <c r="G273" s="17"/>
      <c r="H273" s="17"/>
      <c r="I273" s="17"/>
      <c r="J273" s="17"/>
      <c r="K273" s="17"/>
      <c r="L273" s="31"/>
    </row>
    <row r="274" spans="2:12" x14ac:dyDescent="0.2">
      <c r="B274" s="28"/>
      <c r="C274" s="16"/>
      <c r="D274" s="17"/>
      <c r="E274" s="17"/>
      <c r="F274" s="17"/>
      <c r="G274" s="17"/>
      <c r="H274" s="17"/>
      <c r="I274" s="17"/>
      <c r="J274" s="17"/>
      <c r="K274" s="17"/>
      <c r="L274" s="31"/>
    </row>
    <row r="275" spans="2:12" x14ac:dyDescent="0.2">
      <c r="B275" s="28"/>
      <c r="C275" s="16"/>
      <c r="D275" s="17"/>
      <c r="E275" s="17"/>
      <c r="F275" s="17"/>
      <c r="G275" s="17"/>
      <c r="H275" s="17"/>
      <c r="I275" s="17"/>
      <c r="J275" s="17"/>
      <c r="K275" s="17"/>
      <c r="L275" s="31"/>
    </row>
    <row r="276" spans="2:12" x14ac:dyDescent="0.2">
      <c r="B276" s="28"/>
      <c r="C276" s="16"/>
      <c r="D276" s="17"/>
      <c r="E276" s="17"/>
      <c r="F276" s="17"/>
      <c r="G276" s="17"/>
      <c r="H276" s="17"/>
      <c r="I276" s="17"/>
      <c r="J276" s="17"/>
      <c r="K276" s="17"/>
      <c r="L276" s="31"/>
    </row>
    <row r="277" spans="2:12" x14ac:dyDescent="0.2">
      <c r="B277" s="28"/>
      <c r="C277" s="16"/>
      <c r="D277" s="17"/>
      <c r="E277" s="17"/>
      <c r="F277" s="17"/>
      <c r="G277" s="17"/>
      <c r="H277" s="17"/>
      <c r="I277" s="17"/>
      <c r="J277" s="17"/>
      <c r="K277" s="17"/>
      <c r="L277" s="31"/>
    </row>
    <row r="278" spans="2:12" x14ac:dyDescent="0.2">
      <c r="B278" s="28"/>
      <c r="C278" s="16"/>
      <c r="D278" s="17"/>
      <c r="E278" s="17"/>
      <c r="F278" s="17"/>
      <c r="G278" s="17"/>
      <c r="H278" s="17"/>
      <c r="I278" s="17"/>
      <c r="J278" s="17"/>
      <c r="K278" s="17"/>
      <c r="L278" s="31"/>
    </row>
    <row r="279" spans="2:12" x14ac:dyDescent="0.2">
      <c r="B279" s="28"/>
      <c r="C279" s="16"/>
      <c r="D279" s="17"/>
      <c r="E279" s="17"/>
      <c r="F279" s="17"/>
      <c r="G279" s="17"/>
      <c r="H279" s="17"/>
      <c r="I279" s="17"/>
      <c r="J279" s="17"/>
      <c r="K279" s="17"/>
      <c r="L279" s="31"/>
    </row>
    <row r="280" spans="2:12" x14ac:dyDescent="0.2">
      <c r="B280" s="28"/>
      <c r="C280" s="16"/>
      <c r="D280" s="17"/>
      <c r="E280" s="17"/>
      <c r="F280" s="17"/>
      <c r="G280" s="17"/>
      <c r="H280" s="17"/>
      <c r="I280" s="17"/>
      <c r="J280" s="17"/>
      <c r="K280" s="17"/>
      <c r="L280" s="31"/>
    </row>
    <row r="281" spans="2:12" x14ac:dyDescent="0.2">
      <c r="B281" s="28"/>
      <c r="C281" s="16"/>
      <c r="D281" s="17"/>
      <c r="E281" s="17"/>
      <c r="F281" s="17"/>
      <c r="G281" s="17"/>
      <c r="H281" s="17"/>
      <c r="I281" s="17"/>
      <c r="J281" s="17"/>
      <c r="K281" s="17"/>
      <c r="L281" s="31"/>
    </row>
    <row r="282" spans="2:12" x14ac:dyDescent="0.2">
      <c r="B282" s="28"/>
      <c r="C282" s="16"/>
      <c r="D282" s="17"/>
      <c r="E282" s="17"/>
      <c r="F282" s="17"/>
      <c r="G282" s="17"/>
      <c r="H282" s="17"/>
      <c r="I282" s="17"/>
      <c r="J282" s="17"/>
      <c r="K282" s="17"/>
      <c r="L282" s="31"/>
    </row>
    <row r="283" spans="2:12" x14ac:dyDescent="0.2">
      <c r="B283" s="28"/>
      <c r="C283" s="16"/>
      <c r="D283" s="17"/>
      <c r="E283" s="17"/>
      <c r="F283" s="17"/>
      <c r="G283" s="17"/>
      <c r="H283" s="17"/>
      <c r="I283" s="17"/>
      <c r="J283" s="17"/>
      <c r="K283" s="17"/>
      <c r="L283" s="31"/>
    </row>
    <row r="284" spans="2:12" x14ac:dyDescent="0.2">
      <c r="B284" s="28"/>
      <c r="C284" s="16"/>
      <c r="D284" s="17"/>
      <c r="E284" s="17"/>
      <c r="F284" s="17"/>
      <c r="G284" s="17"/>
      <c r="H284" s="17"/>
      <c r="I284" s="17"/>
      <c r="J284" s="17"/>
      <c r="K284" s="17"/>
      <c r="L284" s="31"/>
    </row>
    <row r="285" spans="2:12" x14ac:dyDescent="0.2">
      <c r="B285" s="28"/>
      <c r="C285" s="16"/>
      <c r="D285" s="17"/>
      <c r="E285" s="17"/>
      <c r="F285" s="17"/>
      <c r="G285" s="17"/>
      <c r="H285" s="17"/>
      <c r="I285" s="17"/>
      <c r="J285" s="17"/>
      <c r="K285" s="17"/>
      <c r="L285" s="31"/>
    </row>
    <row r="286" spans="2:12" x14ac:dyDescent="0.2">
      <c r="B286" s="28"/>
      <c r="C286" s="16"/>
      <c r="D286" s="17"/>
      <c r="E286" s="17"/>
      <c r="F286" s="17"/>
      <c r="G286" s="17"/>
      <c r="H286" s="17"/>
      <c r="I286" s="17"/>
      <c r="J286" s="17"/>
      <c r="K286" s="17"/>
      <c r="L286" s="31"/>
    </row>
    <row r="287" spans="2:12" x14ac:dyDescent="0.2">
      <c r="B287" s="28"/>
      <c r="C287" s="16"/>
      <c r="D287" s="17"/>
      <c r="E287" s="17"/>
      <c r="F287" s="17"/>
      <c r="G287" s="17"/>
      <c r="H287" s="17"/>
      <c r="I287" s="17"/>
      <c r="J287" s="17"/>
      <c r="K287" s="17"/>
      <c r="L287" s="31"/>
    </row>
    <row r="288" spans="2:12" x14ac:dyDescent="0.2">
      <c r="B288" s="28"/>
      <c r="C288" s="16"/>
      <c r="D288" s="17"/>
      <c r="E288" s="17"/>
      <c r="F288" s="17"/>
      <c r="G288" s="17"/>
      <c r="H288" s="17"/>
      <c r="I288" s="17"/>
      <c r="J288" s="17"/>
      <c r="K288" s="17"/>
      <c r="L288" s="31"/>
    </row>
    <row r="289" spans="2:12" x14ac:dyDescent="0.2">
      <c r="B289" s="28"/>
      <c r="C289" s="16"/>
      <c r="D289" s="17"/>
      <c r="E289" s="17"/>
      <c r="F289" s="17"/>
      <c r="G289" s="17"/>
      <c r="H289" s="17"/>
      <c r="I289" s="17"/>
      <c r="J289" s="17"/>
      <c r="K289" s="17"/>
      <c r="L289" s="31"/>
    </row>
    <row r="290" spans="2:12" x14ac:dyDescent="0.2">
      <c r="B290" s="28"/>
      <c r="C290" s="16"/>
      <c r="D290" s="17"/>
      <c r="E290" s="17"/>
      <c r="F290" s="17"/>
      <c r="G290" s="17"/>
      <c r="H290" s="17"/>
      <c r="I290" s="17"/>
      <c r="J290" s="17"/>
      <c r="K290" s="17"/>
      <c r="L290" s="31"/>
    </row>
    <row r="291" spans="2:12" x14ac:dyDescent="0.2">
      <c r="B291" s="28"/>
      <c r="C291" s="16"/>
      <c r="D291" s="17"/>
      <c r="E291" s="17"/>
      <c r="F291" s="17"/>
      <c r="G291" s="17"/>
      <c r="H291" s="17"/>
      <c r="I291" s="17"/>
      <c r="J291" s="17"/>
      <c r="K291" s="17"/>
      <c r="L291" s="31"/>
    </row>
    <row r="292" spans="2:12" x14ac:dyDescent="0.2">
      <c r="B292" s="28"/>
      <c r="C292" s="16"/>
      <c r="D292" s="17"/>
      <c r="E292" s="17"/>
      <c r="F292" s="17"/>
      <c r="G292" s="17"/>
      <c r="H292" s="17"/>
      <c r="I292" s="17"/>
      <c r="J292" s="17"/>
      <c r="K292" s="17"/>
      <c r="L292" s="31"/>
    </row>
    <row r="293" spans="2:12" x14ac:dyDescent="0.2">
      <c r="B293" s="28"/>
      <c r="C293" s="16"/>
      <c r="D293" s="17"/>
      <c r="E293" s="17"/>
      <c r="F293" s="17"/>
      <c r="G293" s="17"/>
      <c r="H293" s="17"/>
      <c r="I293" s="17"/>
      <c r="J293" s="17"/>
      <c r="K293" s="17"/>
      <c r="L293" s="31"/>
    </row>
    <row r="294" spans="2:12" x14ac:dyDescent="0.2">
      <c r="B294" s="28"/>
      <c r="C294" s="16"/>
      <c r="D294" s="17"/>
      <c r="E294" s="17"/>
      <c r="F294" s="17"/>
      <c r="G294" s="17"/>
      <c r="H294" s="17"/>
      <c r="I294" s="17"/>
      <c r="J294" s="17"/>
      <c r="K294" s="17"/>
      <c r="L294" s="31"/>
    </row>
    <row r="295" spans="2:12" x14ac:dyDescent="0.2">
      <c r="B295" s="28"/>
      <c r="C295" s="16"/>
      <c r="D295" s="17"/>
      <c r="E295" s="17"/>
      <c r="F295" s="17"/>
      <c r="G295" s="17"/>
      <c r="H295" s="17"/>
      <c r="I295" s="17"/>
      <c r="J295" s="17"/>
      <c r="K295" s="17"/>
      <c r="L295" s="31"/>
    </row>
    <row r="296" spans="2:12" x14ac:dyDescent="0.2">
      <c r="B296" s="28"/>
      <c r="C296" s="16"/>
      <c r="D296" s="17"/>
      <c r="E296" s="17"/>
      <c r="F296" s="17"/>
      <c r="G296" s="17"/>
      <c r="H296" s="17"/>
      <c r="I296" s="17"/>
      <c r="J296" s="17"/>
      <c r="K296" s="17"/>
      <c r="L296" s="31"/>
    </row>
    <row r="297" spans="2:12" x14ac:dyDescent="0.2">
      <c r="B297" s="28"/>
      <c r="C297" s="16"/>
      <c r="D297" s="17"/>
      <c r="E297" s="17"/>
      <c r="F297" s="17"/>
      <c r="G297" s="17"/>
      <c r="H297" s="17"/>
      <c r="I297" s="17"/>
      <c r="J297" s="17"/>
      <c r="K297" s="17"/>
      <c r="L297" s="31"/>
    </row>
    <row r="298" spans="2:12" x14ac:dyDescent="0.2">
      <c r="B298" s="28"/>
      <c r="C298" s="16"/>
      <c r="D298" s="17"/>
      <c r="E298" s="17"/>
      <c r="F298" s="17"/>
      <c r="G298" s="17"/>
      <c r="H298" s="17"/>
      <c r="I298" s="17"/>
      <c r="J298" s="17"/>
      <c r="K298" s="17"/>
      <c r="L298" s="31"/>
    </row>
    <row r="299" spans="2:12" x14ac:dyDescent="0.2">
      <c r="B299" s="28"/>
      <c r="C299" s="16"/>
      <c r="D299" s="17"/>
      <c r="E299" s="17"/>
      <c r="F299" s="17"/>
      <c r="G299" s="17"/>
      <c r="H299" s="17"/>
      <c r="I299" s="17"/>
      <c r="J299" s="17"/>
      <c r="K299" s="17"/>
      <c r="L299" s="31"/>
    </row>
    <row r="300" spans="2:12" x14ac:dyDescent="0.2">
      <c r="B300" s="28"/>
      <c r="C300" s="16"/>
      <c r="D300" s="17"/>
      <c r="E300" s="17"/>
      <c r="F300" s="17"/>
      <c r="G300" s="17"/>
      <c r="H300" s="17"/>
      <c r="I300" s="17"/>
      <c r="J300" s="17"/>
      <c r="K300" s="17"/>
      <c r="L300" s="31"/>
    </row>
    <row r="301" spans="2:12" x14ac:dyDescent="0.2">
      <c r="B301" s="28"/>
      <c r="C301" s="16"/>
      <c r="D301" s="17"/>
      <c r="E301" s="17"/>
      <c r="F301" s="17"/>
      <c r="G301" s="17"/>
      <c r="H301" s="17"/>
      <c r="I301" s="17"/>
      <c r="J301" s="17"/>
      <c r="K301" s="17"/>
      <c r="L301" s="31"/>
    </row>
    <row r="302" spans="2:12" x14ac:dyDescent="0.2">
      <c r="B302" s="28"/>
      <c r="C302" s="16"/>
      <c r="D302" s="17"/>
      <c r="E302" s="17"/>
      <c r="F302" s="17"/>
      <c r="G302" s="17"/>
      <c r="H302" s="17"/>
      <c r="I302" s="17"/>
      <c r="J302" s="17"/>
      <c r="K302" s="17"/>
      <c r="L302" s="31"/>
    </row>
    <row r="303" spans="2:12" x14ac:dyDescent="0.2">
      <c r="B303" s="28"/>
      <c r="C303" s="16"/>
      <c r="D303" s="17"/>
      <c r="E303" s="17"/>
      <c r="F303" s="17"/>
      <c r="G303" s="17"/>
      <c r="H303" s="17"/>
      <c r="I303" s="17"/>
      <c r="J303" s="17"/>
      <c r="K303" s="17"/>
      <c r="L303" s="31"/>
    </row>
    <row r="304" spans="2:12" x14ac:dyDescent="0.2">
      <c r="B304" s="28"/>
      <c r="C304" s="16"/>
      <c r="D304" s="17"/>
      <c r="E304" s="17"/>
      <c r="F304" s="17"/>
      <c r="G304" s="17"/>
      <c r="H304" s="17"/>
      <c r="I304" s="17"/>
      <c r="J304" s="17"/>
      <c r="K304" s="17"/>
      <c r="L304" s="31"/>
    </row>
    <row r="305" spans="2:12" x14ac:dyDescent="0.2">
      <c r="B305" s="28"/>
      <c r="C305" s="16"/>
      <c r="D305" s="17"/>
      <c r="E305" s="17"/>
      <c r="F305" s="17"/>
      <c r="G305" s="17"/>
      <c r="H305" s="17"/>
      <c r="I305" s="17"/>
      <c r="J305" s="17"/>
      <c r="K305" s="17"/>
      <c r="L305" s="31"/>
    </row>
    <row r="306" spans="2:12" x14ac:dyDescent="0.2">
      <c r="B306" s="28"/>
      <c r="C306" s="16"/>
      <c r="D306" s="17"/>
      <c r="E306" s="17"/>
      <c r="F306" s="17"/>
      <c r="G306" s="17"/>
      <c r="H306" s="17"/>
      <c r="I306" s="17"/>
      <c r="J306" s="17"/>
      <c r="K306" s="17"/>
      <c r="L306" s="31"/>
    </row>
    <row r="307" spans="2:12" x14ac:dyDescent="0.2">
      <c r="B307" s="28"/>
      <c r="C307" s="16"/>
      <c r="D307" s="17"/>
      <c r="E307" s="17"/>
      <c r="F307" s="17"/>
      <c r="G307" s="17"/>
      <c r="H307" s="17"/>
      <c r="I307" s="17"/>
      <c r="J307" s="17"/>
      <c r="K307" s="17"/>
      <c r="L307" s="31"/>
    </row>
    <row r="308" spans="2:12" x14ac:dyDescent="0.2">
      <c r="B308" s="28"/>
      <c r="C308" s="16"/>
      <c r="D308" s="17"/>
      <c r="E308" s="17"/>
      <c r="F308" s="17"/>
      <c r="G308" s="17"/>
      <c r="H308" s="17"/>
      <c r="I308" s="17"/>
      <c r="J308" s="17"/>
      <c r="K308" s="17"/>
      <c r="L308" s="31"/>
    </row>
    <row r="309" spans="2:12" x14ac:dyDescent="0.2">
      <c r="B309" s="28"/>
      <c r="C309" s="16"/>
      <c r="D309" s="17"/>
      <c r="E309" s="17"/>
      <c r="F309" s="17"/>
      <c r="G309" s="17"/>
      <c r="H309" s="17"/>
      <c r="I309" s="17"/>
      <c r="J309" s="17"/>
      <c r="K309" s="17"/>
      <c r="L309" s="31"/>
    </row>
    <row r="310" spans="2:12" x14ac:dyDescent="0.2">
      <c r="B310" s="28"/>
      <c r="C310" s="16"/>
      <c r="D310" s="17"/>
      <c r="E310" s="17"/>
      <c r="F310" s="17"/>
      <c r="G310" s="17"/>
      <c r="H310" s="17"/>
      <c r="I310" s="17"/>
      <c r="J310" s="17"/>
      <c r="K310" s="17"/>
      <c r="L310" s="31"/>
    </row>
    <row r="311" spans="2:12" x14ac:dyDescent="0.2">
      <c r="B311" s="28"/>
      <c r="C311" s="16"/>
      <c r="D311" s="17"/>
      <c r="E311" s="17"/>
      <c r="F311" s="17"/>
      <c r="G311" s="17"/>
      <c r="H311" s="17"/>
      <c r="I311" s="17"/>
      <c r="J311" s="17"/>
      <c r="K311" s="17"/>
      <c r="L311" s="31"/>
    </row>
    <row r="312" spans="2:12" x14ac:dyDescent="0.2">
      <c r="B312" s="28"/>
      <c r="C312" s="16"/>
      <c r="D312" s="17"/>
      <c r="E312" s="17"/>
      <c r="F312" s="17"/>
      <c r="G312" s="17"/>
      <c r="H312" s="17"/>
      <c r="I312" s="17"/>
      <c r="J312" s="17"/>
      <c r="K312" s="17"/>
      <c r="L312" s="31"/>
    </row>
    <row r="313" spans="2:12" x14ac:dyDescent="0.2">
      <c r="B313" s="28"/>
      <c r="C313" s="16"/>
      <c r="D313" s="17"/>
      <c r="E313" s="17"/>
      <c r="F313" s="17"/>
      <c r="G313" s="17"/>
      <c r="H313" s="17"/>
      <c r="I313" s="17"/>
      <c r="J313" s="17"/>
      <c r="K313" s="17"/>
      <c r="L313" s="31"/>
    </row>
    <row r="314" spans="2:12" x14ac:dyDescent="0.2">
      <c r="B314" s="28"/>
      <c r="C314" s="16"/>
      <c r="D314" s="17"/>
      <c r="E314" s="17"/>
      <c r="F314" s="17"/>
      <c r="G314" s="17"/>
      <c r="H314" s="17"/>
      <c r="I314" s="17"/>
      <c r="J314" s="17"/>
      <c r="K314" s="17"/>
      <c r="L314" s="31"/>
    </row>
    <row r="315" spans="2:12" x14ac:dyDescent="0.2">
      <c r="B315" s="28"/>
      <c r="C315" s="16"/>
      <c r="D315" s="17"/>
      <c r="E315" s="17"/>
      <c r="F315" s="17"/>
      <c r="G315" s="17"/>
      <c r="H315" s="17"/>
      <c r="I315" s="17"/>
      <c r="J315" s="17"/>
      <c r="K315" s="17"/>
      <c r="L315" s="31"/>
    </row>
    <row r="316" spans="2:12" x14ac:dyDescent="0.2">
      <c r="B316" s="28"/>
      <c r="C316" s="16"/>
      <c r="D316" s="17"/>
      <c r="E316" s="17"/>
      <c r="F316" s="17"/>
      <c r="G316" s="17"/>
      <c r="H316" s="17"/>
      <c r="I316" s="17"/>
      <c r="J316" s="17"/>
      <c r="K316" s="17"/>
      <c r="L316" s="31"/>
    </row>
    <row r="317" spans="2:12" x14ac:dyDescent="0.2">
      <c r="B317" s="28"/>
      <c r="C317" s="16"/>
      <c r="D317" s="17"/>
      <c r="E317" s="17"/>
      <c r="F317" s="17"/>
      <c r="G317" s="17"/>
      <c r="H317" s="17"/>
      <c r="I317" s="17"/>
      <c r="J317" s="17"/>
      <c r="K317" s="17"/>
      <c r="L317" s="31"/>
    </row>
    <row r="318" spans="2:12" x14ac:dyDescent="0.2">
      <c r="B318" s="28"/>
      <c r="C318" s="16"/>
      <c r="D318" s="17"/>
      <c r="E318" s="17"/>
      <c r="F318" s="17"/>
      <c r="G318" s="17"/>
      <c r="H318" s="17"/>
      <c r="I318" s="17"/>
      <c r="J318" s="17"/>
      <c r="K318" s="17"/>
      <c r="L318" s="31"/>
    </row>
    <row r="319" spans="2:12" x14ac:dyDescent="0.2">
      <c r="B319" s="28"/>
      <c r="C319" s="16"/>
      <c r="D319" s="17"/>
      <c r="E319" s="17"/>
      <c r="F319" s="17"/>
      <c r="G319" s="17"/>
      <c r="H319" s="17"/>
      <c r="I319" s="17"/>
      <c r="J319" s="17"/>
      <c r="K319" s="17"/>
      <c r="L319" s="31"/>
    </row>
    <row r="320" spans="2:12" x14ac:dyDescent="0.2">
      <c r="B320" s="28"/>
      <c r="C320" s="16"/>
      <c r="D320" s="17"/>
      <c r="E320" s="17"/>
      <c r="F320" s="17"/>
      <c r="G320" s="17"/>
      <c r="H320" s="17"/>
      <c r="I320" s="17"/>
      <c r="J320" s="17"/>
      <c r="K320" s="17"/>
      <c r="L320" s="31"/>
    </row>
    <row r="321" spans="2:12" x14ac:dyDescent="0.2">
      <c r="B321" s="28"/>
      <c r="C321" s="16"/>
      <c r="D321" s="17"/>
      <c r="E321" s="17"/>
      <c r="F321" s="17"/>
      <c r="G321" s="17"/>
      <c r="H321" s="17"/>
      <c r="I321" s="17"/>
      <c r="J321" s="17"/>
      <c r="K321" s="17"/>
      <c r="L321" s="31"/>
    </row>
    <row r="322" spans="2:12" x14ac:dyDescent="0.2">
      <c r="B322" s="28"/>
      <c r="C322" s="16"/>
      <c r="D322" s="17"/>
      <c r="E322" s="17"/>
      <c r="F322" s="17"/>
      <c r="G322" s="17"/>
      <c r="H322" s="17"/>
      <c r="I322" s="17"/>
      <c r="J322" s="17"/>
      <c r="K322" s="17"/>
      <c r="L322" s="31"/>
    </row>
    <row r="323" spans="2:12" x14ac:dyDescent="0.2">
      <c r="B323" s="28"/>
      <c r="C323" s="16"/>
      <c r="D323" s="17"/>
      <c r="E323" s="17"/>
      <c r="F323" s="17"/>
      <c r="G323" s="17"/>
      <c r="H323" s="17"/>
      <c r="I323" s="17"/>
      <c r="J323" s="17"/>
      <c r="K323" s="17"/>
      <c r="L323" s="31"/>
    </row>
    <row r="324" spans="2:12" x14ac:dyDescent="0.2">
      <c r="B324" s="28"/>
      <c r="C324" s="16"/>
      <c r="D324" s="17"/>
      <c r="E324" s="17"/>
      <c r="F324" s="17"/>
      <c r="G324" s="17"/>
      <c r="H324" s="17"/>
      <c r="I324" s="17"/>
      <c r="J324" s="17"/>
      <c r="K324" s="17"/>
      <c r="L324" s="31"/>
    </row>
    <row r="325" spans="2:12" x14ac:dyDescent="0.2">
      <c r="B325" s="28"/>
      <c r="C325" s="16"/>
      <c r="D325" s="17"/>
      <c r="E325" s="17"/>
      <c r="F325" s="17"/>
      <c r="G325" s="17"/>
      <c r="H325" s="17"/>
      <c r="I325" s="17"/>
      <c r="J325" s="17"/>
      <c r="K325" s="17"/>
      <c r="L325" s="31"/>
    </row>
    <row r="326" spans="2:12" x14ac:dyDescent="0.2">
      <c r="B326" s="28"/>
      <c r="C326" s="16"/>
      <c r="D326" s="17"/>
      <c r="E326" s="17"/>
      <c r="F326" s="17"/>
      <c r="G326" s="17"/>
      <c r="H326" s="17"/>
      <c r="I326" s="17"/>
      <c r="J326" s="17"/>
      <c r="K326" s="17"/>
      <c r="L326" s="31"/>
    </row>
    <row r="327" spans="2:12" x14ac:dyDescent="0.2">
      <c r="B327" s="28"/>
      <c r="C327" s="16"/>
      <c r="D327" s="17"/>
      <c r="E327" s="17"/>
      <c r="F327" s="17"/>
      <c r="G327" s="17"/>
      <c r="H327" s="17"/>
      <c r="I327" s="17"/>
      <c r="J327" s="17"/>
      <c r="K327" s="17"/>
      <c r="L327" s="31"/>
    </row>
    <row r="328" spans="2:12" x14ac:dyDescent="0.2">
      <c r="B328" s="28"/>
      <c r="C328" s="16"/>
      <c r="D328" s="17"/>
      <c r="E328" s="17"/>
      <c r="F328" s="17"/>
      <c r="G328" s="17"/>
      <c r="H328" s="17"/>
      <c r="I328" s="17"/>
      <c r="J328" s="17"/>
      <c r="K328" s="17"/>
      <c r="L328" s="31"/>
    </row>
    <row r="329" spans="2:12" x14ac:dyDescent="0.2">
      <c r="B329" s="28"/>
      <c r="C329" s="16"/>
      <c r="D329" s="17"/>
      <c r="E329" s="17"/>
      <c r="F329" s="17"/>
      <c r="G329" s="17"/>
      <c r="H329" s="17"/>
      <c r="I329" s="17"/>
      <c r="J329" s="17"/>
      <c r="K329" s="17"/>
      <c r="L329" s="31"/>
    </row>
    <row r="330" spans="2:12" x14ac:dyDescent="0.2">
      <c r="B330" s="28"/>
      <c r="C330" s="16"/>
      <c r="D330" s="17"/>
      <c r="E330" s="17"/>
      <c r="F330" s="17"/>
      <c r="G330" s="17"/>
      <c r="H330" s="17"/>
      <c r="I330" s="17"/>
      <c r="J330" s="17"/>
      <c r="K330" s="17"/>
      <c r="L330" s="31"/>
    </row>
    <row r="331" spans="2:12" x14ac:dyDescent="0.2">
      <c r="B331" s="28"/>
      <c r="C331" s="16"/>
      <c r="D331" s="17"/>
      <c r="E331" s="17"/>
      <c r="F331" s="17"/>
      <c r="G331" s="17"/>
      <c r="H331" s="17"/>
      <c r="I331" s="17"/>
      <c r="J331" s="17"/>
      <c r="K331" s="17"/>
      <c r="L331" s="31"/>
    </row>
    <row r="332" spans="2:12" x14ac:dyDescent="0.2">
      <c r="B332" s="28"/>
      <c r="C332" s="16"/>
      <c r="D332" s="17"/>
      <c r="E332" s="17"/>
      <c r="F332" s="17"/>
      <c r="G332" s="17"/>
      <c r="H332" s="17"/>
      <c r="I332" s="17"/>
      <c r="J332" s="17"/>
      <c r="K332" s="17"/>
      <c r="L332" s="31"/>
    </row>
    <row r="333" spans="2:12" x14ac:dyDescent="0.2">
      <c r="B333" s="28"/>
      <c r="C333" s="16"/>
      <c r="D333" s="17"/>
      <c r="E333" s="17"/>
      <c r="F333" s="17"/>
      <c r="G333" s="17"/>
      <c r="H333" s="17"/>
      <c r="I333" s="17"/>
      <c r="J333" s="17"/>
      <c r="K333" s="17"/>
      <c r="L333" s="31"/>
    </row>
    <row r="334" spans="2:12" x14ac:dyDescent="0.2">
      <c r="B334" s="28"/>
      <c r="C334" s="16"/>
      <c r="D334" s="17"/>
      <c r="E334" s="17"/>
      <c r="F334" s="17"/>
      <c r="G334" s="17"/>
      <c r="H334" s="17"/>
      <c r="I334" s="17"/>
      <c r="J334" s="17"/>
      <c r="K334" s="17"/>
      <c r="L334" s="31"/>
    </row>
    <row r="335" spans="2:12" x14ac:dyDescent="0.2">
      <c r="B335" s="28"/>
      <c r="C335" s="16"/>
      <c r="D335" s="17"/>
      <c r="E335" s="17"/>
      <c r="F335" s="17"/>
      <c r="G335" s="17"/>
      <c r="H335" s="17"/>
      <c r="I335" s="17"/>
      <c r="J335" s="17"/>
      <c r="K335" s="17"/>
      <c r="L335" s="31"/>
    </row>
    <row r="336" spans="2:12" x14ac:dyDescent="0.2">
      <c r="B336" s="28"/>
      <c r="C336" s="16"/>
      <c r="D336" s="17"/>
      <c r="E336" s="17"/>
      <c r="F336" s="17"/>
      <c r="G336" s="17"/>
      <c r="H336" s="17"/>
      <c r="I336" s="17"/>
      <c r="J336" s="17"/>
      <c r="K336" s="17"/>
      <c r="L336" s="31"/>
    </row>
    <row r="337" spans="2:12" x14ac:dyDescent="0.2">
      <c r="B337" s="28"/>
      <c r="C337" s="16"/>
      <c r="D337" s="17"/>
      <c r="E337" s="17"/>
      <c r="F337" s="17"/>
      <c r="G337" s="17"/>
      <c r="H337" s="17"/>
      <c r="I337" s="17"/>
      <c r="J337" s="17"/>
      <c r="K337" s="17"/>
      <c r="L337" s="31"/>
    </row>
    <row r="338" spans="2:12" x14ac:dyDescent="0.2">
      <c r="B338" s="28"/>
      <c r="C338" s="16"/>
      <c r="D338" s="17"/>
      <c r="E338" s="17"/>
      <c r="F338" s="17"/>
      <c r="G338" s="17"/>
      <c r="H338" s="17"/>
      <c r="I338" s="17"/>
      <c r="J338" s="17"/>
      <c r="K338" s="17"/>
      <c r="L338" s="31"/>
    </row>
    <row r="339" spans="2:12" x14ac:dyDescent="0.2">
      <c r="B339" s="28"/>
      <c r="C339" s="16"/>
      <c r="D339" s="17"/>
      <c r="E339" s="17"/>
      <c r="F339" s="17"/>
      <c r="G339" s="17"/>
      <c r="H339" s="17"/>
      <c r="I339" s="17"/>
      <c r="J339" s="17"/>
      <c r="K339" s="17"/>
      <c r="L339" s="31"/>
    </row>
    <row r="340" spans="2:12" x14ac:dyDescent="0.2">
      <c r="B340" s="28"/>
      <c r="C340" s="16"/>
      <c r="D340" s="17"/>
      <c r="E340" s="17"/>
      <c r="F340" s="17"/>
      <c r="G340" s="17"/>
      <c r="H340" s="17"/>
      <c r="I340" s="17"/>
      <c r="J340" s="17"/>
      <c r="K340" s="17"/>
      <c r="L340" s="31"/>
    </row>
    <row r="341" spans="2:12" x14ac:dyDescent="0.2">
      <c r="B341" s="28"/>
      <c r="C341" s="16"/>
      <c r="D341" s="17"/>
      <c r="E341" s="17"/>
      <c r="F341" s="17"/>
      <c r="G341" s="17"/>
      <c r="H341" s="17"/>
      <c r="I341" s="17"/>
      <c r="J341" s="17"/>
      <c r="K341" s="17"/>
      <c r="L341" s="31"/>
    </row>
    <row r="342" spans="2:12" x14ac:dyDescent="0.2">
      <c r="B342" s="28"/>
      <c r="C342" s="16"/>
      <c r="D342" s="17"/>
      <c r="E342" s="17"/>
      <c r="F342" s="17"/>
      <c r="G342" s="17"/>
      <c r="H342" s="17"/>
      <c r="I342" s="17"/>
      <c r="J342" s="17"/>
      <c r="K342" s="17"/>
      <c r="L342" s="31"/>
    </row>
    <row r="343" spans="2:12" x14ac:dyDescent="0.2">
      <c r="B343" s="28"/>
      <c r="C343" s="16"/>
      <c r="D343" s="17"/>
      <c r="E343" s="17"/>
      <c r="F343" s="17"/>
      <c r="G343" s="17"/>
      <c r="H343" s="17"/>
      <c r="I343" s="17"/>
      <c r="J343" s="17"/>
      <c r="K343" s="17"/>
      <c r="L343" s="31"/>
    </row>
    <row r="344" spans="2:12" x14ac:dyDescent="0.2">
      <c r="B344" s="28"/>
      <c r="C344" s="16"/>
      <c r="D344" s="17"/>
      <c r="E344" s="17"/>
      <c r="F344" s="17"/>
      <c r="G344" s="17"/>
      <c r="H344" s="17"/>
      <c r="I344" s="17"/>
      <c r="J344" s="17"/>
      <c r="K344" s="17"/>
      <c r="L344" s="31"/>
    </row>
    <row r="345" spans="2:12" x14ac:dyDescent="0.2">
      <c r="B345" s="28"/>
      <c r="C345" s="16"/>
      <c r="D345" s="17"/>
      <c r="E345" s="17"/>
      <c r="F345" s="17"/>
      <c r="G345" s="17"/>
      <c r="H345" s="17"/>
      <c r="I345" s="17"/>
      <c r="J345" s="17"/>
      <c r="K345" s="17"/>
      <c r="L345" s="31"/>
    </row>
    <row r="346" spans="2:12" x14ac:dyDescent="0.2">
      <c r="B346" s="28"/>
      <c r="C346" s="16"/>
      <c r="D346" s="17"/>
      <c r="E346" s="17"/>
      <c r="F346" s="17"/>
      <c r="G346" s="17"/>
      <c r="H346" s="17"/>
      <c r="I346" s="17"/>
      <c r="J346" s="17"/>
      <c r="K346" s="17"/>
      <c r="L346" s="31"/>
    </row>
    <row r="347" spans="2:12" x14ac:dyDescent="0.2">
      <c r="B347" s="28"/>
      <c r="C347" s="16"/>
      <c r="D347" s="17"/>
      <c r="E347" s="17"/>
      <c r="F347" s="17"/>
      <c r="G347" s="17"/>
      <c r="H347" s="17"/>
      <c r="I347" s="17"/>
      <c r="J347" s="17"/>
      <c r="K347" s="17"/>
      <c r="L347" s="31"/>
    </row>
    <row r="348" spans="2:12" x14ac:dyDescent="0.2">
      <c r="B348" s="28"/>
      <c r="C348" s="16"/>
      <c r="D348" s="17"/>
      <c r="E348" s="17"/>
      <c r="F348" s="17"/>
      <c r="G348" s="17"/>
      <c r="H348" s="17"/>
      <c r="I348" s="17"/>
      <c r="J348" s="17"/>
      <c r="K348" s="17"/>
      <c r="L348" s="31"/>
    </row>
    <row r="349" spans="2:12" x14ac:dyDescent="0.2">
      <c r="B349" s="28"/>
      <c r="C349" s="16"/>
      <c r="D349" s="17"/>
      <c r="E349" s="17"/>
      <c r="F349" s="17"/>
      <c r="G349" s="17"/>
      <c r="H349" s="17"/>
      <c r="I349" s="17"/>
      <c r="J349" s="17"/>
      <c r="K349" s="17"/>
      <c r="L349" s="31"/>
    </row>
    <row r="350" spans="2:12" x14ac:dyDescent="0.2">
      <c r="B350" s="28"/>
      <c r="C350" s="16"/>
      <c r="D350" s="17"/>
      <c r="E350" s="17"/>
      <c r="F350" s="17"/>
      <c r="G350" s="17"/>
      <c r="H350" s="17"/>
      <c r="I350" s="17"/>
      <c r="J350" s="17"/>
      <c r="K350" s="17"/>
      <c r="L350" s="31"/>
    </row>
    <row r="351" spans="2:12" x14ac:dyDescent="0.2">
      <c r="B351" s="28"/>
      <c r="C351" s="16"/>
      <c r="D351" s="17"/>
      <c r="E351" s="17"/>
      <c r="F351" s="17"/>
      <c r="G351" s="17"/>
      <c r="H351" s="17"/>
      <c r="I351" s="17"/>
      <c r="J351" s="17"/>
      <c r="K351" s="17"/>
      <c r="L351" s="31"/>
    </row>
    <row r="352" spans="2:12" x14ac:dyDescent="0.2">
      <c r="B352" s="28"/>
      <c r="C352" s="16"/>
      <c r="D352" s="17"/>
      <c r="E352" s="17"/>
      <c r="F352" s="17"/>
      <c r="G352" s="17"/>
      <c r="H352" s="17"/>
      <c r="I352" s="17"/>
      <c r="J352" s="17"/>
      <c r="K352" s="17"/>
      <c r="L352" s="31"/>
    </row>
    <row r="353" spans="2:12" x14ac:dyDescent="0.2">
      <c r="B353" s="28"/>
      <c r="C353" s="16"/>
      <c r="D353" s="17"/>
      <c r="E353" s="17"/>
      <c r="F353" s="17"/>
      <c r="G353" s="17"/>
      <c r="H353" s="17"/>
      <c r="I353" s="17"/>
      <c r="J353" s="17"/>
      <c r="K353" s="17"/>
      <c r="L353" s="31"/>
    </row>
    <row r="354" spans="2:12" x14ac:dyDescent="0.2">
      <c r="B354" s="28"/>
      <c r="C354" s="16"/>
      <c r="D354" s="17"/>
      <c r="E354" s="17"/>
      <c r="F354" s="17"/>
      <c r="G354" s="17"/>
      <c r="H354" s="17"/>
      <c r="I354" s="17"/>
      <c r="J354" s="17"/>
      <c r="K354" s="17"/>
      <c r="L354" s="31"/>
    </row>
    <row r="355" spans="2:12" x14ac:dyDescent="0.2">
      <c r="B355" s="28"/>
      <c r="C355" s="16"/>
      <c r="D355" s="17"/>
      <c r="E355" s="17"/>
      <c r="F355" s="17"/>
      <c r="G355" s="17"/>
      <c r="H355" s="17"/>
      <c r="I355" s="17"/>
      <c r="J355" s="17"/>
      <c r="K355" s="17"/>
      <c r="L355" s="31"/>
    </row>
    <row r="356" spans="2:12" x14ac:dyDescent="0.2">
      <c r="B356" s="28"/>
      <c r="C356" s="16"/>
      <c r="D356" s="17"/>
      <c r="E356" s="17"/>
      <c r="F356" s="17"/>
      <c r="G356" s="17"/>
      <c r="H356" s="17"/>
      <c r="I356" s="17"/>
      <c r="J356" s="17"/>
      <c r="K356" s="17"/>
      <c r="L356" s="31"/>
    </row>
    <row r="357" spans="2:12" x14ac:dyDescent="0.2">
      <c r="B357" s="28"/>
      <c r="C357" s="16"/>
      <c r="D357" s="17"/>
      <c r="E357" s="17"/>
      <c r="F357" s="17"/>
      <c r="G357" s="17"/>
      <c r="H357" s="17"/>
      <c r="I357" s="17"/>
      <c r="J357" s="17"/>
      <c r="K357" s="17"/>
      <c r="L357" s="31"/>
    </row>
    <row r="358" spans="2:12" x14ac:dyDescent="0.2">
      <c r="B358" s="28"/>
      <c r="C358" s="16"/>
      <c r="D358" s="17"/>
      <c r="E358" s="17"/>
      <c r="F358" s="17"/>
      <c r="G358" s="17"/>
      <c r="H358" s="17"/>
      <c r="I358" s="17"/>
      <c r="J358" s="17"/>
      <c r="K358" s="17"/>
      <c r="L358" s="31"/>
    </row>
    <row r="359" spans="2:12" x14ac:dyDescent="0.2">
      <c r="B359" s="28"/>
      <c r="C359" s="16"/>
      <c r="D359" s="17"/>
      <c r="E359" s="17"/>
      <c r="F359" s="17"/>
      <c r="G359" s="17"/>
      <c r="H359" s="17"/>
      <c r="I359" s="17"/>
      <c r="J359" s="17"/>
      <c r="K359" s="17"/>
      <c r="L359" s="31"/>
    </row>
    <row r="360" spans="2:12" x14ac:dyDescent="0.2">
      <c r="B360" s="28"/>
      <c r="C360" s="16"/>
      <c r="D360" s="17"/>
      <c r="E360" s="17"/>
      <c r="F360" s="17"/>
      <c r="G360" s="17"/>
      <c r="H360" s="17"/>
      <c r="I360" s="17"/>
      <c r="J360" s="17"/>
      <c r="K360" s="17"/>
      <c r="L360" s="31"/>
    </row>
    <row r="361" spans="2:12" x14ac:dyDescent="0.2">
      <c r="B361" s="28"/>
      <c r="C361" s="16"/>
      <c r="D361" s="17"/>
      <c r="E361" s="17"/>
      <c r="F361" s="17"/>
      <c r="G361" s="17"/>
      <c r="H361" s="17"/>
      <c r="I361" s="17"/>
      <c r="J361" s="17"/>
      <c r="K361" s="17"/>
      <c r="L361" s="31"/>
    </row>
    <row r="362" spans="2:12" x14ac:dyDescent="0.2">
      <c r="B362" s="28"/>
      <c r="C362" s="16"/>
      <c r="D362" s="17"/>
      <c r="E362" s="17"/>
      <c r="F362" s="17"/>
      <c r="G362" s="17"/>
      <c r="H362" s="17"/>
      <c r="I362" s="17"/>
      <c r="J362" s="17"/>
      <c r="K362" s="17"/>
      <c r="L362" s="31"/>
    </row>
    <row r="363" spans="2:12" x14ac:dyDescent="0.2">
      <c r="B363" s="28"/>
      <c r="C363" s="16"/>
      <c r="D363" s="17"/>
      <c r="E363" s="17"/>
      <c r="F363" s="17"/>
      <c r="G363" s="17"/>
      <c r="H363" s="17"/>
      <c r="I363" s="17"/>
      <c r="J363" s="17"/>
      <c r="K363" s="17"/>
      <c r="L363" s="31"/>
    </row>
    <row r="364" spans="2:12" x14ac:dyDescent="0.2">
      <c r="B364" s="28"/>
      <c r="C364" s="16"/>
      <c r="D364" s="17"/>
      <c r="E364" s="17"/>
      <c r="F364" s="17"/>
      <c r="G364" s="17"/>
      <c r="H364" s="17"/>
      <c r="I364" s="17"/>
      <c r="J364" s="17"/>
      <c r="K364" s="17"/>
      <c r="L364" s="31"/>
    </row>
    <row r="365" spans="2:12" x14ac:dyDescent="0.2">
      <c r="B365" s="28"/>
      <c r="C365" s="16"/>
      <c r="D365" s="17"/>
      <c r="E365" s="17"/>
      <c r="F365" s="17"/>
      <c r="G365" s="17"/>
      <c r="H365" s="17"/>
      <c r="I365" s="17"/>
      <c r="J365" s="17"/>
      <c r="K365" s="17"/>
      <c r="L365" s="31"/>
    </row>
    <row r="366" spans="2:12" x14ac:dyDescent="0.2">
      <c r="B366" s="28"/>
      <c r="C366" s="16"/>
      <c r="D366" s="17"/>
      <c r="E366" s="17"/>
      <c r="F366" s="17"/>
      <c r="G366" s="17"/>
      <c r="H366" s="17"/>
      <c r="I366" s="17"/>
      <c r="J366" s="17"/>
      <c r="K366" s="17"/>
      <c r="L366" s="31"/>
    </row>
  </sheetData>
  <mergeCells count="3">
    <mergeCell ref="B7:L7"/>
    <mergeCell ref="B9:C9"/>
    <mergeCell ref="F9:G9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5"/>
  </sheetPr>
  <dimension ref="B1:L371"/>
  <sheetViews>
    <sheetView zoomScale="80" zoomScaleNormal="80" workbookViewId="0">
      <selection activeCell="AQ59" sqref="AQ59"/>
    </sheetView>
  </sheetViews>
  <sheetFormatPr baseColWidth="10" defaultColWidth="9.1640625" defaultRowHeight="15" x14ac:dyDescent="0.2"/>
  <cols>
    <col min="1" max="1" width="3.33203125" style="5" customWidth="1"/>
    <col min="2" max="3" width="15.6640625" style="5" customWidth="1"/>
    <col min="4" max="10" width="15.6640625" style="10" customWidth="1"/>
    <col min="11" max="11" width="15.6640625" style="5" customWidth="1"/>
    <col min="12" max="12" width="30.6640625" style="5" bestFit="1" customWidth="1"/>
    <col min="13" max="16384" width="9.1640625" style="5"/>
  </cols>
  <sheetData>
    <row r="1" spans="2:12" x14ac:dyDescent="0.2">
      <c r="D1" s="5"/>
      <c r="E1" s="5"/>
      <c r="F1" s="5"/>
      <c r="G1" s="5"/>
      <c r="H1" s="5"/>
      <c r="I1" s="5"/>
      <c r="J1" s="5"/>
    </row>
    <row r="2" spans="2:12" x14ac:dyDescent="0.2">
      <c r="D2" s="5"/>
      <c r="E2" s="5"/>
      <c r="F2" s="5"/>
      <c r="G2" s="5"/>
      <c r="H2" s="5"/>
      <c r="I2" s="5"/>
      <c r="J2" s="5"/>
    </row>
    <row r="3" spans="2:12" x14ac:dyDescent="0.2">
      <c r="D3" s="5"/>
      <c r="E3" s="5"/>
      <c r="F3" s="5"/>
      <c r="G3" s="5"/>
      <c r="H3" s="5"/>
      <c r="I3" s="5"/>
      <c r="J3" s="5"/>
    </row>
    <row r="4" spans="2:12" x14ac:dyDescent="0.2">
      <c r="D4" s="5"/>
      <c r="E4" s="5"/>
      <c r="F4" s="5"/>
      <c r="G4" s="5"/>
      <c r="H4" s="5"/>
      <c r="I4" s="5"/>
      <c r="J4" s="5"/>
    </row>
    <row r="5" spans="2:12" x14ac:dyDescent="0.2">
      <c r="D5" s="5"/>
      <c r="E5" s="5"/>
      <c r="F5" s="5"/>
      <c r="G5" s="5"/>
      <c r="H5" s="5"/>
      <c r="I5" s="5"/>
      <c r="J5" s="5"/>
    </row>
    <row r="6" spans="2:12" x14ac:dyDescent="0.2">
      <c r="D6" s="5"/>
      <c r="E6" s="5"/>
      <c r="F6" s="5"/>
      <c r="G6" s="5"/>
      <c r="H6" s="5"/>
      <c r="I6" s="5"/>
      <c r="J6" s="5"/>
    </row>
    <row r="7" spans="2:12" ht="19" x14ac:dyDescent="0.2">
      <c r="B7" s="437" t="s">
        <v>76</v>
      </c>
      <c r="C7" s="437"/>
      <c r="D7" s="437"/>
      <c r="E7" s="437"/>
      <c r="F7" s="437"/>
      <c r="G7" s="437"/>
      <c r="H7" s="437"/>
      <c r="I7" s="437"/>
      <c r="J7" s="437"/>
      <c r="K7" s="437"/>
      <c r="L7" s="437"/>
    </row>
    <row r="8" spans="2:12" ht="19" x14ac:dyDescent="0.2">
      <c r="B8" s="4"/>
      <c r="D8" s="5"/>
      <c r="E8" s="5"/>
      <c r="F8" s="5"/>
      <c r="G8" s="5"/>
      <c r="H8" s="5"/>
      <c r="I8" s="5"/>
      <c r="J8" s="5"/>
    </row>
    <row r="9" spans="2:12" x14ac:dyDescent="0.2">
      <c r="B9" s="438" t="s">
        <v>66</v>
      </c>
      <c r="C9" s="439"/>
      <c r="D9" s="23">
        <f>'4. Report'!D61</f>
        <v>0</v>
      </c>
      <c r="E9" s="5"/>
      <c r="F9" s="440" t="s">
        <v>67</v>
      </c>
      <c r="G9" s="423"/>
      <c r="H9" s="24">
        <f>'2. Purchase Information'!D21</f>
        <v>0.08</v>
      </c>
      <c r="I9" s="5"/>
      <c r="J9" s="6" t="s">
        <v>68</v>
      </c>
      <c r="K9" s="25">
        <f>'2. Purchase Information'!D23</f>
        <v>15</v>
      </c>
    </row>
    <row r="10" spans="2:12" x14ac:dyDescent="0.2">
      <c r="D10" s="5"/>
      <c r="E10" s="5"/>
      <c r="F10" s="5"/>
      <c r="G10" s="5"/>
      <c r="H10" s="5"/>
      <c r="I10" s="5"/>
      <c r="J10" s="5"/>
    </row>
    <row r="11" spans="2:12" s="9" customFormat="1" ht="30" customHeight="1" x14ac:dyDescent="0.2">
      <c r="B11" s="26" t="s">
        <v>62</v>
      </c>
      <c r="C11" s="26" t="s">
        <v>63</v>
      </c>
      <c r="D11" s="26" t="s">
        <v>64</v>
      </c>
      <c r="E11" s="26" t="s">
        <v>65</v>
      </c>
      <c r="F11" s="26" t="s">
        <v>69</v>
      </c>
      <c r="G11" s="26" t="s">
        <v>70</v>
      </c>
      <c r="H11" s="26" t="s">
        <v>71</v>
      </c>
      <c r="I11" s="26" t="s">
        <v>72</v>
      </c>
      <c r="J11" s="26" t="s">
        <v>74</v>
      </c>
      <c r="K11" s="26" t="s">
        <v>73</v>
      </c>
    </row>
    <row r="12" spans="2:12" x14ac:dyDescent="0.2">
      <c r="B12" s="11">
        <f>IF(ROW()-11&gt;$K$9*12,"",ROW()-11)</f>
        <v>1</v>
      </c>
      <c r="C12" s="12">
        <f>IF(B12="","",ROUNDUP(B12/12,0))</f>
        <v>1</v>
      </c>
      <c r="D12" s="13">
        <f>IF(B12="","",D9)</f>
        <v>0</v>
      </c>
      <c r="E12" s="13">
        <f>IF(B12="","",PMT($H$9/12,$K$9*12,-$D$9))</f>
        <v>0</v>
      </c>
      <c r="F12" s="13">
        <f>IF(B12="","",IPMT($H$9/12,B12,$K$9*12,-$D$9))</f>
        <v>0</v>
      </c>
      <c r="G12" s="13">
        <f>IF(B12="","",PPMT($H$9/12,B12,$K$9*12,-$D$9))</f>
        <v>0</v>
      </c>
      <c r="H12" s="13">
        <f>IF(B12="","",SUM($F$12:F12))</f>
        <v>0</v>
      </c>
      <c r="I12" s="13">
        <f>IF(B12="","",SUM($G$12:G12))</f>
        <v>0</v>
      </c>
      <c r="J12" s="13">
        <f>IF(B12="","",$E$12*B12)</f>
        <v>0</v>
      </c>
      <c r="K12" s="14">
        <f>IF(B12="","",D12-G12)</f>
        <v>0</v>
      </c>
      <c r="L12" s="27" t="str">
        <f>IF(B12=$K$9*12,J12/$D$9,"")</f>
        <v/>
      </c>
    </row>
    <row r="13" spans="2:12" x14ac:dyDescent="0.2">
      <c r="B13" s="15">
        <f>IF(ROW()-11&gt;$K$9*12,"",ROW()-11)</f>
        <v>2</v>
      </c>
      <c r="C13" s="16">
        <f>IF(B13="","",ROUNDUP(B13/12,0))</f>
        <v>1</v>
      </c>
      <c r="D13" s="17">
        <f>IF(B13="","",K12)</f>
        <v>0</v>
      </c>
      <c r="E13" s="17">
        <f>IF(B13="","",PMT($H$9/12,$K$9*12,-$D$9))</f>
        <v>0</v>
      </c>
      <c r="F13" s="17">
        <f t="shared" ref="F13:F76" si="0">IF(B13="","",IPMT($H$9/12,B13,$K$9*12,-$D$9))</f>
        <v>0</v>
      </c>
      <c r="G13" s="17">
        <f t="shared" ref="G13:G76" si="1">IF(B13="","",PPMT($H$9/12,B13,$K$9*12,-$D$9))</f>
        <v>0</v>
      </c>
      <c r="H13" s="17">
        <f>IF(B13="","",SUM($F$12:F13))</f>
        <v>0</v>
      </c>
      <c r="I13" s="17">
        <f>IF(B13="","",SUM($G$12:G13))</f>
        <v>0</v>
      </c>
      <c r="J13" s="17">
        <f>IF(B13="","",$E$12*B13)</f>
        <v>0</v>
      </c>
      <c r="K13" s="18">
        <f t="shared" ref="K13:K64" si="2">IF(B13="","",D13-G13)</f>
        <v>0</v>
      </c>
      <c r="L13" s="27" t="str">
        <f t="shared" ref="L13:L76" si="3">IF(B13=$K$9*12,J13/$D$9,"")</f>
        <v/>
      </c>
    </row>
    <row r="14" spans="2:12" x14ac:dyDescent="0.2">
      <c r="B14" s="15">
        <f t="shared" ref="B14:B77" si="4">IF(ROW()-11&gt;$K$9*12,"",ROW()-11)</f>
        <v>3</v>
      </c>
      <c r="C14" s="16">
        <f t="shared" ref="C14:C77" si="5">IF(B14="","",ROUNDUP(B14/12,0))</f>
        <v>1</v>
      </c>
      <c r="D14" s="17">
        <f t="shared" ref="D14:D77" si="6">IF(B14="","",K13)</f>
        <v>0</v>
      </c>
      <c r="E14" s="17">
        <f t="shared" ref="E14:E64" si="7">IF(B14="","",PMT($H$9/12,$K$9*12,-$D$9))</f>
        <v>0</v>
      </c>
      <c r="F14" s="17">
        <f t="shared" si="0"/>
        <v>0</v>
      </c>
      <c r="G14" s="17">
        <f t="shared" si="1"/>
        <v>0</v>
      </c>
      <c r="H14" s="17">
        <f>IF(B14="","",SUM($F$12:F14))</f>
        <v>0</v>
      </c>
      <c r="I14" s="17">
        <f>IF(B14="","",SUM($G$12:G14))</f>
        <v>0</v>
      </c>
      <c r="J14" s="17">
        <f t="shared" ref="J14:J64" si="8">IF(B14="","",$E$12*B14)</f>
        <v>0</v>
      </c>
      <c r="K14" s="18">
        <f t="shared" si="2"/>
        <v>0</v>
      </c>
      <c r="L14" s="27" t="str">
        <f t="shared" si="3"/>
        <v/>
      </c>
    </row>
    <row r="15" spans="2:12" x14ac:dyDescent="0.2">
      <c r="B15" s="15">
        <f t="shared" si="4"/>
        <v>4</v>
      </c>
      <c r="C15" s="16">
        <f t="shared" si="5"/>
        <v>1</v>
      </c>
      <c r="D15" s="17">
        <f t="shared" si="6"/>
        <v>0</v>
      </c>
      <c r="E15" s="17">
        <f t="shared" si="7"/>
        <v>0</v>
      </c>
      <c r="F15" s="17">
        <f t="shared" si="0"/>
        <v>0</v>
      </c>
      <c r="G15" s="17">
        <f t="shared" si="1"/>
        <v>0</v>
      </c>
      <c r="H15" s="17">
        <f>IF(B15="","",SUM($F$12:F15))</f>
        <v>0</v>
      </c>
      <c r="I15" s="17">
        <f>IF(B15="","",SUM($G$12:G15))</f>
        <v>0</v>
      </c>
      <c r="J15" s="17">
        <f t="shared" si="8"/>
        <v>0</v>
      </c>
      <c r="K15" s="18">
        <f t="shared" si="2"/>
        <v>0</v>
      </c>
      <c r="L15" s="27" t="str">
        <f t="shared" si="3"/>
        <v/>
      </c>
    </row>
    <row r="16" spans="2:12" x14ac:dyDescent="0.2">
      <c r="B16" s="15">
        <f t="shared" si="4"/>
        <v>5</v>
      </c>
      <c r="C16" s="16">
        <f t="shared" si="5"/>
        <v>1</v>
      </c>
      <c r="D16" s="17">
        <f t="shared" si="6"/>
        <v>0</v>
      </c>
      <c r="E16" s="17">
        <f t="shared" si="7"/>
        <v>0</v>
      </c>
      <c r="F16" s="17">
        <f t="shared" si="0"/>
        <v>0</v>
      </c>
      <c r="G16" s="17">
        <f t="shared" si="1"/>
        <v>0</v>
      </c>
      <c r="H16" s="17">
        <f>IF(B16="","",SUM($F$12:F16))</f>
        <v>0</v>
      </c>
      <c r="I16" s="17">
        <f>IF(B16="","",SUM($G$12:G16))</f>
        <v>0</v>
      </c>
      <c r="J16" s="17">
        <f t="shared" si="8"/>
        <v>0</v>
      </c>
      <c r="K16" s="18">
        <f t="shared" si="2"/>
        <v>0</v>
      </c>
      <c r="L16" s="27" t="str">
        <f t="shared" si="3"/>
        <v/>
      </c>
    </row>
    <row r="17" spans="2:12" x14ac:dyDescent="0.2">
      <c r="B17" s="15">
        <f t="shared" si="4"/>
        <v>6</v>
      </c>
      <c r="C17" s="16">
        <f t="shared" si="5"/>
        <v>1</v>
      </c>
      <c r="D17" s="17">
        <f t="shared" si="6"/>
        <v>0</v>
      </c>
      <c r="E17" s="17">
        <f t="shared" si="7"/>
        <v>0</v>
      </c>
      <c r="F17" s="17">
        <f t="shared" si="0"/>
        <v>0</v>
      </c>
      <c r="G17" s="17">
        <f t="shared" si="1"/>
        <v>0</v>
      </c>
      <c r="H17" s="17">
        <f>IF(B17="","",SUM($F$12:F17))</f>
        <v>0</v>
      </c>
      <c r="I17" s="17">
        <f>IF(B17="","",SUM($G$12:G17))</f>
        <v>0</v>
      </c>
      <c r="J17" s="17">
        <f t="shared" si="8"/>
        <v>0</v>
      </c>
      <c r="K17" s="18">
        <f t="shared" si="2"/>
        <v>0</v>
      </c>
      <c r="L17" s="27" t="str">
        <f t="shared" si="3"/>
        <v/>
      </c>
    </row>
    <row r="18" spans="2:12" x14ac:dyDescent="0.2">
      <c r="B18" s="15">
        <f t="shared" si="4"/>
        <v>7</v>
      </c>
      <c r="C18" s="16">
        <f t="shared" si="5"/>
        <v>1</v>
      </c>
      <c r="D18" s="17">
        <f t="shared" si="6"/>
        <v>0</v>
      </c>
      <c r="E18" s="17">
        <f t="shared" si="7"/>
        <v>0</v>
      </c>
      <c r="F18" s="17">
        <f t="shared" si="0"/>
        <v>0</v>
      </c>
      <c r="G18" s="17">
        <f t="shared" si="1"/>
        <v>0</v>
      </c>
      <c r="H18" s="17">
        <f>IF(B18="","",SUM($F$12:F18))</f>
        <v>0</v>
      </c>
      <c r="I18" s="17">
        <f>IF(B18="","",SUM($G$12:G18))</f>
        <v>0</v>
      </c>
      <c r="J18" s="17">
        <f t="shared" si="8"/>
        <v>0</v>
      </c>
      <c r="K18" s="18">
        <f t="shared" si="2"/>
        <v>0</v>
      </c>
      <c r="L18" s="27" t="str">
        <f t="shared" si="3"/>
        <v/>
      </c>
    </row>
    <row r="19" spans="2:12" x14ac:dyDescent="0.2">
      <c r="B19" s="15">
        <f t="shared" si="4"/>
        <v>8</v>
      </c>
      <c r="C19" s="16">
        <f t="shared" si="5"/>
        <v>1</v>
      </c>
      <c r="D19" s="17">
        <f t="shared" si="6"/>
        <v>0</v>
      </c>
      <c r="E19" s="17">
        <f t="shared" si="7"/>
        <v>0</v>
      </c>
      <c r="F19" s="17">
        <f t="shared" si="0"/>
        <v>0</v>
      </c>
      <c r="G19" s="17">
        <f t="shared" si="1"/>
        <v>0</v>
      </c>
      <c r="H19" s="17">
        <f>IF(B19="","",SUM($F$12:F19))</f>
        <v>0</v>
      </c>
      <c r="I19" s="17">
        <f>IF(B19="","",SUM($G$12:G19))</f>
        <v>0</v>
      </c>
      <c r="J19" s="17">
        <f t="shared" si="8"/>
        <v>0</v>
      </c>
      <c r="K19" s="18">
        <f t="shared" si="2"/>
        <v>0</v>
      </c>
      <c r="L19" s="27" t="str">
        <f t="shared" si="3"/>
        <v/>
      </c>
    </row>
    <row r="20" spans="2:12" x14ac:dyDescent="0.2">
      <c r="B20" s="15">
        <f t="shared" si="4"/>
        <v>9</v>
      </c>
      <c r="C20" s="16">
        <f t="shared" si="5"/>
        <v>1</v>
      </c>
      <c r="D20" s="17">
        <f t="shared" si="6"/>
        <v>0</v>
      </c>
      <c r="E20" s="17">
        <f t="shared" si="7"/>
        <v>0</v>
      </c>
      <c r="F20" s="17">
        <f t="shared" si="0"/>
        <v>0</v>
      </c>
      <c r="G20" s="17">
        <f t="shared" si="1"/>
        <v>0</v>
      </c>
      <c r="H20" s="17">
        <f>IF(B20="","",SUM($F$12:F20))</f>
        <v>0</v>
      </c>
      <c r="I20" s="17">
        <f>IF(B20="","",SUM($G$12:G20))</f>
        <v>0</v>
      </c>
      <c r="J20" s="17">
        <f t="shared" si="8"/>
        <v>0</v>
      </c>
      <c r="K20" s="18">
        <f t="shared" si="2"/>
        <v>0</v>
      </c>
      <c r="L20" s="27" t="str">
        <f t="shared" si="3"/>
        <v/>
      </c>
    </row>
    <row r="21" spans="2:12" x14ac:dyDescent="0.2">
      <c r="B21" s="15">
        <f t="shared" si="4"/>
        <v>10</v>
      </c>
      <c r="C21" s="16">
        <f t="shared" si="5"/>
        <v>1</v>
      </c>
      <c r="D21" s="17">
        <f t="shared" si="6"/>
        <v>0</v>
      </c>
      <c r="E21" s="17">
        <f t="shared" si="7"/>
        <v>0</v>
      </c>
      <c r="F21" s="17">
        <f t="shared" si="0"/>
        <v>0</v>
      </c>
      <c r="G21" s="17">
        <f t="shared" si="1"/>
        <v>0</v>
      </c>
      <c r="H21" s="17">
        <f>IF(B21="","",SUM($F$12:F21))</f>
        <v>0</v>
      </c>
      <c r="I21" s="17">
        <f>IF(B21="","",SUM($G$12:G21))</f>
        <v>0</v>
      </c>
      <c r="J21" s="17">
        <f t="shared" si="8"/>
        <v>0</v>
      </c>
      <c r="K21" s="18">
        <f t="shared" si="2"/>
        <v>0</v>
      </c>
      <c r="L21" s="27" t="str">
        <f t="shared" si="3"/>
        <v/>
      </c>
    </row>
    <row r="22" spans="2:12" x14ac:dyDescent="0.2">
      <c r="B22" s="15">
        <f t="shared" si="4"/>
        <v>11</v>
      </c>
      <c r="C22" s="16">
        <f t="shared" si="5"/>
        <v>1</v>
      </c>
      <c r="D22" s="17">
        <f t="shared" si="6"/>
        <v>0</v>
      </c>
      <c r="E22" s="17">
        <f t="shared" si="7"/>
        <v>0</v>
      </c>
      <c r="F22" s="17">
        <f t="shared" si="0"/>
        <v>0</v>
      </c>
      <c r="G22" s="17">
        <f t="shared" si="1"/>
        <v>0</v>
      </c>
      <c r="H22" s="17">
        <f>IF(B22="","",SUM($F$12:F22))</f>
        <v>0</v>
      </c>
      <c r="I22" s="17">
        <f>IF(B22="","",SUM($G$12:G22))</f>
        <v>0</v>
      </c>
      <c r="J22" s="17">
        <f t="shared" si="8"/>
        <v>0</v>
      </c>
      <c r="K22" s="18">
        <f t="shared" si="2"/>
        <v>0</v>
      </c>
      <c r="L22" s="27" t="str">
        <f t="shared" si="3"/>
        <v/>
      </c>
    </row>
    <row r="23" spans="2:12" x14ac:dyDescent="0.2">
      <c r="B23" s="15">
        <f t="shared" si="4"/>
        <v>12</v>
      </c>
      <c r="C23" s="16">
        <f t="shared" si="5"/>
        <v>1</v>
      </c>
      <c r="D23" s="17">
        <f t="shared" si="6"/>
        <v>0</v>
      </c>
      <c r="E23" s="17">
        <f t="shared" si="7"/>
        <v>0</v>
      </c>
      <c r="F23" s="17">
        <f t="shared" si="0"/>
        <v>0</v>
      </c>
      <c r="G23" s="17">
        <f t="shared" si="1"/>
        <v>0</v>
      </c>
      <c r="H23" s="17">
        <f>IF(B23="","",SUM($F$12:F23))</f>
        <v>0</v>
      </c>
      <c r="I23" s="17">
        <f>IF(B23="","",SUM($G$12:G23))</f>
        <v>0</v>
      </c>
      <c r="J23" s="17">
        <f t="shared" si="8"/>
        <v>0</v>
      </c>
      <c r="K23" s="18">
        <f t="shared" si="2"/>
        <v>0</v>
      </c>
      <c r="L23" s="27" t="str">
        <f t="shared" si="3"/>
        <v/>
      </c>
    </row>
    <row r="24" spans="2:12" x14ac:dyDescent="0.2">
      <c r="B24" s="15">
        <f t="shared" si="4"/>
        <v>13</v>
      </c>
      <c r="C24" s="16">
        <f t="shared" si="5"/>
        <v>2</v>
      </c>
      <c r="D24" s="17">
        <f t="shared" si="6"/>
        <v>0</v>
      </c>
      <c r="E24" s="17">
        <f t="shared" si="7"/>
        <v>0</v>
      </c>
      <c r="F24" s="17">
        <f t="shared" si="0"/>
        <v>0</v>
      </c>
      <c r="G24" s="17">
        <f t="shared" si="1"/>
        <v>0</v>
      </c>
      <c r="H24" s="17">
        <f>IF(B24="","",SUM($F$12:F24))</f>
        <v>0</v>
      </c>
      <c r="I24" s="17">
        <f>IF(B24="","",SUM($G$12:G24))</f>
        <v>0</v>
      </c>
      <c r="J24" s="17">
        <f t="shared" si="8"/>
        <v>0</v>
      </c>
      <c r="K24" s="18">
        <f t="shared" si="2"/>
        <v>0</v>
      </c>
      <c r="L24" s="27" t="str">
        <f t="shared" si="3"/>
        <v/>
      </c>
    </row>
    <row r="25" spans="2:12" x14ac:dyDescent="0.2">
      <c r="B25" s="15">
        <f t="shared" si="4"/>
        <v>14</v>
      </c>
      <c r="C25" s="16">
        <f t="shared" si="5"/>
        <v>2</v>
      </c>
      <c r="D25" s="17">
        <f t="shared" si="6"/>
        <v>0</v>
      </c>
      <c r="E25" s="17">
        <f t="shared" si="7"/>
        <v>0</v>
      </c>
      <c r="F25" s="17">
        <f t="shared" si="0"/>
        <v>0</v>
      </c>
      <c r="G25" s="17">
        <f t="shared" si="1"/>
        <v>0</v>
      </c>
      <c r="H25" s="17">
        <f>IF(B25="","",SUM($F$12:F25))</f>
        <v>0</v>
      </c>
      <c r="I25" s="17">
        <f>IF(B25="","",SUM($G$12:G25))</f>
        <v>0</v>
      </c>
      <c r="J25" s="17">
        <f t="shared" si="8"/>
        <v>0</v>
      </c>
      <c r="K25" s="18">
        <f t="shared" si="2"/>
        <v>0</v>
      </c>
      <c r="L25" s="27" t="str">
        <f t="shared" si="3"/>
        <v/>
      </c>
    </row>
    <row r="26" spans="2:12" x14ac:dyDescent="0.2">
      <c r="B26" s="15">
        <f t="shared" si="4"/>
        <v>15</v>
      </c>
      <c r="C26" s="16">
        <f t="shared" si="5"/>
        <v>2</v>
      </c>
      <c r="D26" s="17">
        <f t="shared" si="6"/>
        <v>0</v>
      </c>
      <c r="E26" s="17">
        <f t="shared" si="7"/>
        <v>0</v>
      </c>
      <c r="F26" s="17">
        <f t="shared" si="0"/>
        <v>0</v>
      </c>
      <c r="G26" s="17">
        <f t="shared" si="1"/>
        <v>0</v>
      </c>
      <c r="H26" s="17">
        <f>IF(B26="","",SUM($F$12:F26))</f>
        <v>0</v>
      </c>
      <c r="I26" s="17">
        <f>IF(B26="","",SUM($G$12:G26))</f>
        <v>0</v>
      </c>
      <c r="J26" s="17">
        <f t="shared" si="8"/>
        <v>0</v>
      </c>
      <c r="K26" s="18">
        <f t="shared" si="2"/>
        <v>0</v>
      </c>
      <c r="L26" s="27" t="str">
        <f t="shared" si="3"/>
        <v/>
      </c>
    </row>
    <row r="27" spans="2:12" x14ac:dyDescent="0.2">
      <c r="B27" s="15">
        <f t="shared" si="4"/>
        <v>16</v>
      </c>
      <c r="C27" s="16">
        <f t="shared" si="5"/>
        <v>2</v>
      </c>
      <c r="D27" s="17">
        <f t="shared" si="6"/>
        <v>0</v>
      </c>
      <c r="E27" s="17">
        <f t="shared" si="7"/>
        <v>0</v>
      </c>
      <c r="F27" s="17">
        <f t="shared" si="0"/>
        <v>0</v>
      </c>
      <c r="G27" s="17">
        <f t="shared" si="1"/>
        <v>0</v>
      </c>
      <c r="H27" s="17">
        <f>IF(B27="","",SUM($F$12:F27))</f>
        <v>0</v>
      </c>
      <c r="I27" s="17">
        <f>IF(B27="","",SUM($G$12:G27))</f>
        <v>0</v>
      </c>
      <c r="J27" s="17">
        <f t="shared" si="8"/>
        <v>0</v>
      </c>
      <c r="K27" s="18">
        <f t="shared" si="2"/>
        <v>0</v>
      </c>
      <c r="L27" s="27" t="str">
        <f t="shared" si="3"/>
        <v/>
      </c>
    </row>
    <row r="28" spans="2:12" x14ac:dyDescent="0.2">
      <c r="B28" s="15">
        <f t="shared" si="4"/>
        <v>17</v>
      </c>
      <c r="C28" s="16">
        <f t="shared" si="5"/>
        <v>2</v>
      </c>
      <c r="D28" s="17">
        <f t="shared" si="6"/>
        <v>0</v>
      </c>
      <c r="E28" s="17">
        <f t="shared" si="7"/>
        <v>0</v>
      </c>
      <c r="F28" s="17">
        <f t="shared" si="0"/>
        <v>0</v>
      </c>
      <c r="G28" s="17">
        <f t="shared" si="1"/>
        <v>0</v>
      </c>
      <c r="H28" s="17">
        <f>IF(B28="","",SUM($F$12:F28))</f>
        <v>0</v>
      </c>
      <c r="I28" s="17">
        <f>IF(B28="","",SUM($G$12:G28))</f>
        <v>0</v>
      </c>
      <c r="J28" s="17">
        <f t="shared" si="8"/>
        <v>0</v>
      </c>
      <c r="K28" s="18">
        <f t="shared" si="2"/>
        <v>0</v>
      </c>
      <c r="L28" s="27" t="str">
        <f t="shared" si="3"/>
        <v/>
      </c>
    </row>
    <row r="29" spans="2:12" x14ac:dyDescent="0.2">
      <c r="B29" s="15">
        <f t="shared" si="4"/>
        <v>18</v>
      </c>
      <c r="C29" s="16">
        <f t="shared" si="5"/>
        <v>2</v>
      </c>
      <c r="D29" s="17">
        <f t="shared" si="6"/>
        <v>0</v>
      </c>
      <c r="E29" s="17">
        <f t="shared" si="7"/>
        <v>0</v>
      </c>
      <c r="F29" s="17">
        <f t="shared" si="0"/>
        <v>0</v>
      </c>
      <c r="G29" s="17">
        <f t="shared" si="1"/>
        <v>0</v>
      </c>
      <c r="H29" s="17">
        <f>IF(B29="","",SUM($F$12:F29))</f>
        <v>0</v>
      </c>
      <c r="I29" s="17">
        <f>IF(B29="","",SUM($G$12:G29))</f>
        <v>0</v>
      </c>
      <c r="J29" s="17">
        <f t="shared" si="8"/>
        <v>0</v>
      </c>
      <c r="K29" s="18">
        <f t="shared" si="2"/>
        <v>0</v>
      </c>
      <c r="L29" s="27" t="str">
        <f t="shared" si="3"/>
        <v/>
      </c>
    </row>
    <row r="30" spans="2:12" x14ac:dyDescent="0.2">
      <c r="B30" s="15">
        <f t="shared" si="4"/>
        <v>19</v>
      </c>
      <c r="C30" s="16">
        <f t="shared" si="5"/>
        <v>2</v>
      </c>
      <c r="D30" s="17">
        <f t="shared" si="6"/>
        <v>0</v>
      </c>
      <c r="E30" s="17">
        <f t="shared" si="7"/>
        <v>0</v>
      </c>
      <c r="F30" s="17">
        <f t="shared" si="0"/>
        <v>0</v>
      </c>
      <c r="G30" s="17">
        <f t="shared" si="1"/>
        <v>0</v>
      </c>
      <c r="H30" s="17">
        <f>IF(B30="","",SUM($F$12:F30))</f>
        <v>0</v>
      </c>
      <c r="I30" s="17">
        <f>IF(B30="","",SUM($G$12:G30))</f>
        <v>0</v>
      </c>
      <c r="J30" s="17">
        <f t="shared" si="8"/>
        <v>0</v>
      </c>
      <c r="K30" s="18">
        <f t="shared" si="2"/>
        <v>0</v>
      </c>
      <c r="L30" s="27" t="str">
        <f t="shared" si="3"/>
        <v/>
      </c>
    </row>
    <row r="31" spans="2:12" x14ac:dyDescent="0.2">
      <c r="B31" s="15">
        <f t="shared" si="4"/>
        <v>20</v>
      </c>
      <c r="C31" s="16">
        <f t="shared" si="5"/>
        <v>2</v>
      </c>
      <c r="D31" s="17">
        <f t="shared" si="6"/>
        <v>0</v>
      </c>
      <c r="E31" s="17">
        <f t="shared" si="7"/>
        <v>0</v>
      </c>
      <c r="F31" s="17">
        <f t="shared" si="0"/>
        <v>0</v>
      </c>
      <c r="G31" s="17">
        <f t="shared" si="1"/>
        <v>0</v>
      </c>
      <c r="H31" s="17">
        <f>IF(B31="","",SUM($F$12:F31))</f>
        <v>0</v>
      </c>
      <c r="I31" s="17">
        <f>IF(B31="","",SUM($G$12:G31))</f>
        <v>0</v>
      </c>
      <c r="J31" s="17">
        <f t="shared" si="8"/>
        <v>0</v>
      </c>
      <c r="K31" s="18">
        <f t="shared" si="2"/>
        <v>0</v>
      </c>
      <c r="L31" s="27" t="str">
        <f t="shared" si="3"/>
        <v/>
      </c>
    </row>
    <row r="32" spans="2:12" x14ac:dyDescent="0.2">
      <c r="B32" s="15">
        <f t="shared" si="4"/>
        <v>21</v>
      </c>
      <c r="C32" s="16">
        <f t="shared" si="5"/>
        <v>2</v>
      </c>
      <c r="D32" s="17">
        <f t="shared" si="6"/>
        <v>0</v>
      </c>
      <c r="E32" s="17">
        <f t="shared" si="7"/>
        <v>0</v>
      </c>
      <c r="F32" s="17">
        <f t="shared" si="0"/>
        <v>0</v>
      </c>
      <c r="G32" s="17">
        <f t="shared" si="1"/>
        <v>0</v>
      </c>
      <c r="H32" s="17">
        <f>IF(B32="","",SUM($F$12:F32))</f>
        <v>0</v>
      </c>
      <c r="I32" s="17">
        <f>IF(B32="","",SUM($G$12:G32))</f>
        <v>0</v>
      </c>
      <c r="J32" s="17">
        <f t="shared" si="8"/>
        <v>0</v>
      </c>
      <c r="K32" s="18">
        <f t="shared" si="2"/>
        <v>0</v>
      </c>
      <c r="L32" s="27" t="str">
        <f t="shared" si="3"/>
        <v/>
      </c>
    </row>
    <row r="33" spans="2:12" x14ac:dyDescent="0.2">
      <c r="B33" s="15">
        <f t="shared" si="4"/>
        <v>22</v>
      </c>
      <c r="C33" s="16">
        <f t="shared" si="5"/>
        <v>2</v>
      </c>
      <c r="D33" s="17">
        <f t="shared" si="6"/>
        <v>0</v>
      </c>
      <c r="E33" s="17">
        <f t="shared" si="7"/>
        <v>0</v>
      </c>
      <c r="F33" s="17">
        <f t="shared" si="0"/>
        <v>0</v>
      </c>
      <c r="G33" s="17">
        <f t="shared" si="1"/>
        <v>0</v>
      </c>
      <c r="H33" s="17">
        <f>IF(B33="","",SUM($F$12:F33))</f>
        <v>0</v>
      </c>
      <c r="I33" s="17">
        <f>IF(B33="","",SUM($G$12:G33))</f>
        <v>0</v>
      </c>
      <c r="J33" s="17">
        <f t="shared" si="8"/>
        <v>0</v>
      </c>
      <c r="K33" s="18">
        <f t="shared" si="2"/>
        <v>0</v>
      </c>
      <c r="L33" s="27" t="str">
        <f t="shared" si="3"/>
        <v/>
      </c>
    </row>
    <row r="34" spans="2:12" x14ac:dyDescent="0.2">
      <c r="B34" s="15">
        <f t="shared" si="4"/>
        <v>23</v>
      </c>
      <c r="C34" s="16">
        <f t="shared" si="5"/>
        <v>2</v>
      </c>
      <c r="D34" s="17">
        <f t="shared" si="6"/>
        <v>0</v>
      </c>
      <c r="E34" s="17">
        <f t="shared" si="7"/>
        <v>0</v>
      </c>
      <c r="F34" s="17">
        <f t="shared" si="0"/>
        <v>0</v>
      </c>
      <c r="G34" s="17">
        <f t="shared" si="1"/>
        <v>0</v>
      </c>
      <c r="H34" s="17">
        <f>IF(B34="","",SUM($F$12:F34))</f>
        <v>0</v>
      </c>
      <c r="I34" s="17">
        <f>IF(B34="","",SUM($G$12:G34))</f>
        <v>0</v>
      </c>
      <c r="J34" s="17">
        <f t="shared" si="8"/>
        <v>0</v>
      </c>
      <c r="K34" s="18">
        <f t="shared" si="2"/>
        <v>0</v>
      </c>
      <c r="L34" s="27" t="str">
        <f t="shared" si="3"/>
        <v/>
      </c>
    </row>
    <row r="35" spans="2:12" x14ac:dyDescent="0.2">
      <c r="B35" s="15">
        <f t="shared" si="4"/>
        <v>24</v>
      </c>
      <c r="C35" s="16">
        <f t="shared" si="5"/>
        <v>2</v>
      </c>
      <c r="D35" s="17">
        <f t="shared" si="6"/>
        <v>0</v>
      </c>
      <c r="E35" s="17">
        <f t="shared" si="7"/>
        <v>0</v>
      </c>
      <c r="F35" s="17">
        <f t="shared" si="0"/>
        <v>0</v>
      </c>
      <c r="G35" s="17">
        <f t="shared" si="1"/>
        <v>0</v>
      </c>
      <c r="H35" s="17">
        <f>IF(B35="","",SUM($F$12:F35))</f>
        <v>0</v>
      </c>
      <c r="I35" s="17">
        <f>IF(B35="","",SUM($G$12:G35))</f>
        <v>0</v>
      </c>
      <c r="J35" s="17">
        <f t="shared" si="8"/>
        <v>0</v>
      </c>
      <c r="K35" s="18">
        <f t="shared" si="2"/>
        <v>0</v>
      </c>
      <c r="L35" s="27" t="str">
        <f t="shared" si="3"/>
        <v/>
      </c>
    </row>
    <row r="36" spans="2:12" x14ac:dyDescent="0.2">
      <c r="B36" s="15">
        <f t="shared" si="4"/>
        <v>25</v>
      </c>
      <c r="C36" s="16">
        <f t="shared" si="5"/>
        <v>3</v>
      </c>
      <c r="D36" s="17">
        <f t="shared" si="6"/>
        <v>0</v>
      </c>
      <c r="E36" s="17">
        <f t="shared" si="7"/>
        <v>0</v>
      </c>
      <c r="F36" s="17">
        <f t="shared" si="0"/>
        <v>0</v>
      </c>
      <c r="G36" s="17">
        <f t="shared" si="1"/>
        <v>0</v>
      </c>
      <c r="H36" s="17">
        <f>IF(B36="","",SUM($F$12:F36))</f>
        <v>0</v>
      </c>
      <c r="I36" s="17">
        <f>IF(B36="","",SUM($G$12:G36))</f>
        <v>0</v>
      </c>
      <c r="J36" s="17">
        <f t="shared" si="8"/>
        <v>0</v>
      </c>
      <c r="K36" s="18">
        <f t="shared" si="2"/>
        <v>0</v>
      </c>
      <c r="L36" s="27" t="str">
        <f t="shared" si="3"/>
        <v/>
      </c>
    </row>
    <row r="37" spans="2:12" x14ac:dyDescent="0.2">
      <c r="B37" s="15">
        <f t="shared" si="4"/>
        <v>26</v>
      </c>
      <c r="C37" s="16">
        <f t="shared" si="5"/>
        <v>3</v>
      </c>
      <c r="D37" s="17">
        <f t="shared" si="6"/>
        <v>0</v>
      </c>
      <c r="E37" s="17">
        <f t="shared" si="7"/>
        <v>0</v>
      </c>
      <c r="F37" s="17">
        <f t="shared" si="0"/>
        <v>0</v>
      </c>
      <c r="G37" s="17">
        <f t="shared" si="1"/>
        <v>0</v>
      </c>
      <c r="H37" s="17">
        <f>IF(B37="","",SUM($F$12:F37))</f>
        <v>0</v>
      </c>
      <c r="I37" s="17">
        <f>IF(B37="","",SUM($G$12:G37))</f>
        <v>0</v>
      </c>
      <c r="J37" s="17">
        <f t="shared" si="8"/>
        <v>0</v>
      </c>
      <c r="K37" s="18">
        <f t="shared" si="2"/>
        <v>0</v>
      </c>
      <c r="L37" s="27" t="str">
        <f t="shared" si="3"/>
        <v/>
      </c>
    </row>
    <row r="38" spans="2:12" x14ac:dyDescent="0.2">
      <c r="B38" s="15">
        <f t="shared" si="4"/>
        <v>27</v>
      </c>
      <c r="C38" s="16">
        <f t="shared" si="5"/>
        <v>3</v>
      </c>
      <c r="D38" s="17">
        <f t="shared" si="6"/>
        <v>0</v>
      </c>
      <c r="E38" s="17">
        <f t="shared" si="7"/>
        <v>0</v>
      </c>
      <c r="F38" s="17">
        <f t="shared" si="0"/>
        <v>0</v>
      </c>
      <c r="G38" s="17">
        <f t="shared" si="1"/>
        <v>0</v>
      </c>
      <c r="H38" s="17">
        <f>IF(B38="","",SUM($F$12:F38))</f>
        <v>0</v>
      </c>
      <c r="I38" s="17">
        <f>IF(B38="","",SUM($G$12:G38))</f>
        <v>0</v>
      </c>
      <c r="J38" s="17">
        <f t="shared" si="8"/>
        <v>0</v>
      </c>
      <c r="K38" s="18">
        <f t="shared" si="2"/>
        <v>0</v>
      </c>
      <c r="L38" s="27" t="str">
        <f t="shared" si="3"/>
        <v/>
      </c>
    </row>
    <row r="39" spans="2:12" x14ac:dyDescent="0.2">
      <c r="B39" s="15">
        <f t="shared" si="4"/>
        <v>28</v>
      </c>
      <c r="C39" s="16">
        <f t="shared" si="5"/>
        <v>3</v>
      </c>
      <c r="D39" s="17">
        <f t="shared" si="6"/>
        <v>0</v>
      </c>
      <c r="E39" s="17">
        <f t="shared" si="7"/>
        <v>0</v>
      </c>
      <c r="F39" s="17">
        <f t="shared" si="0"/>
        <v>0</v>
      </c>
      <c r="G39" s="17">
        <f t="shared" si="1"/>
        <v>0</v>
      </c>
      <c r="H39" s="17">
        <f>IF(B39="","",SUM($F$12:F39))</f>
        <v>0</v>
      </c>
      <c r="I39" s="17">
        <f>IF(B39="","",SUM($G$12:G39))</f>
        <v>0</v>
      </c>
      <c r="J39" s="17">
        <f t="shared" si="8"/>
        <v>0</v>
      </c>
      <c r="K39" s="18">
        <f t="shared" si="2"/>
        <v>0</v>
      </c>
      <c r="L39" s="27" t="str">
        <f t="shared" si="3"/>
        <v/>
      </c>
    </row>
    <row r="40" spans="2:12" x14ac:dyDescent="0.2">
      <c r="B40" s="15">
        <f t="shared" si="4"/>
        <v>29</v>
      </c>
      <c r="C40" s="16">
        <f t="shared" si="5"/>
        <v>3</v>
      </c>
      <c r="D40" s="17">
        <f t="shared" si="6"/>
        <v>0</v>
      </c>
      <c r="E40" s="17">
        <f t="shared" si="7"/>
        <v>0</v>
      </c>
      <c r="F40" s="17">
        <f t="shared" si="0"/>
        <v>0</v>
      </c>
      <c r="G40" s="17">
        <f t="shared" si="1"/>
        <v>0</v>
      </c>
      <c r="H40" s="17">
        <f>IF(B40="","",SUM($F$12:F40))</f>
        <v>0</v>
      </c>
      <c r="I40" s="17">
        <f>IF(B40="","",SUM($G$12:G40))</f>
        <v>0</v>
      </c>
      <c r="J40" s="17">
        <f t="shared" si="8"/>
        <v>0</v>
      </c>
      <c r="K40" s="18">
        <f t="shared" si="2"/>
        <v>0</v>
      </c>
      <c r="L40" s="27" t="str">
        <f t="shared" si="3"/>
        <v/>
      </c>
    </row>
    <row r="41" spans="2:12" x14ac:dyDescent="0.2">
      <c r="B41" s="15">
        <f t="shared" si="4"/>
        <v>30</v>
      </c>
      <c r="C41" s="16">
        <f t="shared" si="5"/>
        <v>3</v>
      </c>
      <c r="D41" s="17">
        <f t="shared" si="6"/>
        <v>0</v>
      </c>
      <c r="E41" s="17">
        <f t="shared" si="7"/>
        <v>0</v>
      </c>
      <c r="F41" s="17">
        <f t="shared" si="0"/>
        <v>0</v>
      </c>
      <c r="G41" s="17">
        <f t="shared" si="1"/>
        <v>0</v>
      </c>
      <c r="H41" s="17">
        <f>IF(B41="","",SUM($F$12:F41))</f>
        <v>0</v>
      </c>
      <c r="I41" s="17">
        <f>IF(B41="","",SUM($G$12:G41))</f>
        <v>0</v>
      </c>
      <c r="J41" s="17">
        <f t="shared" si="8"/>
        <v>0</v>
      </c>
      <c r="K41" s="18">
        <f t="shared" si="2"/>
        <v>0</v>
      </c>
      <c r="L41" s="27" t="str">
        <f t="shared" si="3"/>
        <v/>
      </c>
    </row>
    <row r="42" spans="2:12" x14ac:dyDescent="0.2">
      <c r="B42" s="15">
        <f t="shared" si="4"/>
        <v>31</v>
      </c>
      <c r="C42" s="16">
        <f t="shared" si="5"/>
        <v>3</v>
      </c>
      <c r="D42" s="17">
        <f t="shared" si="6"/>
        <v>0</v>
      </c>
      <c r="E42" s="17">
        <f t="shared" si="7"/>
        <v>0</v>
      </c>
      <c r="F42" s="17">
        <f t="shared" si="0"/>
        <v>0</v>
      </c>
      <c r="G42" s="17">
        <f t="shared" si="1"/>
        <v>0</v>
      </c>
      <c r="H42" s="17">
        <f>IF(B42="","",SUM($F$12:F42))</f>
        <v>0</v>
      </c>
      <c r="I42" s="17">
        <f>IF(B42="","",SUM($G$12:G42))</f>
        <v>0</v>
      </c>
      <c r="J42" s="17">
        <f t="shared" si="8"/>
        <v>0</v>
      </c>
      <c r="K42" s="18">
        <f t="shared" si="2"/>
        <v>0</v>
      </c>
      <c r="L42" s="27" t="str">
        <f t="shared" si="3"/>
        <v/>
      </c>
    </row>
    <row r="43" spans="2:12" x14ac:dyDescent="0.2">
      <c r="B43" s="15">
        <f t="shared" si="4"/>
        <v>32</v>
      </c>
      <c r="C43" s="16">
        <f t="shared" si="5"/>
        <v>3</v>
      </c>
      <c r="D43" s="17">
        <f t="shared" si="6"/>
        <v>0</v>
      </c>
      <c r="E43" s="17">
        <f t="shared" si="7"/>
        <v>0</v>
      </c>
      <c r="F43" s="17">
        <f t="shared" si="0"/>
        <v>0</v>
      </c>
      <c r="G43" s="17">
        <f t="shared" si="1"/>
        <v>0</v>
      </c>
      <c r="H43" s="17">
        <f>IF(B43="","",SUM($F$12:F43))</f>
        <v>0</v>
      </c>
      <c r="I43" s="17">
        <f>IF(B43="","",SUM($G$12:G43))</f>
        <v>0</v>
      </c>
      <c r="J43" s="17">
        <f t="shared" si="8"/>
        <v>0</v>
      </c>
      <c r="K43" s="18">
        <f t="shared" si="2"/>
        <v>0</v>
      </c>
      <c r="L43" s="27" t="str">
        <f t="shared" si="3"/>
        <v/>
      </c>
    </row>
    <row r="44" spans="2:12" x14ac:dyDescent="0.2">
      <c r="B44" s="15">
        <f t="shared" si="4"/>
        <v>33</v>
      </c>
      <c r="C44" s="16">
        <f t="shared" si="5"/>
        <v>3</v>
      </c>
      <c r="D44" s="17">
        <f t="shared" si="6"/>
        <v>0</v>
      </c>
      <c r="E44" s="17">
        <f t="shared" si="7"/>
        <v>0</v>
      </c>
      <c r="F44" s="17">
        <f t="shared" si="0"/>
        <v>0</v>
      </c>
      <c r="G44" s="17">
        <f t="shared" si="1"/>
        <v>0</v>
      </c>
      <c r="H44" s="17">
        <f>IF(B44="","",SUM($F$12:F44))</f>
        <v>0</v>
      </c>
      <c r="I44" s="17">
        <f>IF(B44="","",SUM($G$12:G44))</f>
        <v>0</v>
      </c>
      <c r="J44" s="17">
        <f t="shared" si="8"/>
        <v>0</v>
      </c>
      <c r="K44" s="18">
        <f t="shared" si="2"/>
        <v>0</v>
      </c>
      <c r="L44" s="27" t="str">
        <f t="shared" si="3"/>
        <v/>
      </c>
    </row>
    <row r="45" spans="2:12" x14ac:dyDescent="0.2">
      <c r="B45" s="15">
        <f t="shared" si="4"/>
        <v>34</v>
      </c>
      <c r="C45" s="16">
        <f t="shared" si="5"/>
        <v>3</v>
      </c>
      <c r="D45" s="17">
        <f t="shared" si="6"/>
        <v>0</v>
      </c>
      <c r="E45" s="17">
        <f t="shared" si="7"/>
        <v>0</v>
      </c>
      <c r="F45" s="17">
        <f t="shared" si="0"/>
        <v>0</v>
      </c>
      <c r="G45" s="17">
        <f t="shared" si="1"/>
        <v>0</v>
      </c>
      <c r="H45" s="17">
        <f>IF(B45="","",SUM($F$12:F45))</f>
        <v>0</v>
      </c>
      <c r="I45" s="17">
        <f>IF(B45="","",SUM($G$12:G45))</f>
        <v>0</v>
      </c>
      <c r="J45" s="17">
        <f t="shared" si="8"/>
        <v>0</v>
      </c>
      <c r="K45" s="18">
        <f t="shared" si="2"/>
        <v>0</v>
      </c>
      <c r="L45" s="27" t="str">
        <f t="shared" si="3"/>
        <v/>
      </c>
    </row>
    <row r="46" spans="2:12" x14ac:dyDescent="0.2">
      <c r="B46" s="15">
        <f t="shared" si="4"/>
        <v>35</v>
      </c>
      <c r="C46" s="16">
        <f t="shared" si="5"/>
        <v>3</v>
      </c>
      <c r="D46" s="17">
        <f t="shared" si="6"/>
        <v>0</v>
      </c>
      <c r="E46" s="17">
        <f t="shared" si="7"/>
        <v>0</v>
      </c>
      <c r="F46" s="17">
        <f t="shared" si="0"/>
        <v>0</v>
      </c>
      <c r="G46" s="17">
        <f t="shared" si="1"/>
        <v>0</v>
      </c>
      <c r="H46" s="17">
        <f>IF(B46="","",SUM($F$12:F46))</f>
        <v>0</v>
      </c>
      <c r="I46" s="17">
        <f>IF(B46="","",SUM($G$12:G46))</f>
        <v>0</v>
      </c>
      <c r="J46" s="17">
        <f t="shared" si="8"/>
        <v>0</v>
      </c>
      <c r="K46" s="18">
        <f t="shared" si="2"/>
        <v>0</v>
      </c>
      <c r="L46" s="27" t="str">
        <f t="shared" si="3"/>
        <v/>
      </c>
    </row>
    <row r="47" spans="2:12" x14ac:dyDescent="0.2">
      <c r="B47" s="15">
        <f t="shared" si="4"/>
        <v>36</v>
      </c>
      <c r="C47" s="16">
        <f t="shared" si="5"/>
        <v>3</v>
      </c>
      <c r="D47" s="17">
        <f t="shared" si="6"/>
        <v>0</v>
      </c>
      <c r="E47" s="17">
        <f t="shared" si="7"/>
        <v>0</v>
      </c>
      <c r="F47" s="17">
        <f t="shared" si="0"/>
        <v>0</v>
      </c>
      <c r="G47" s="17">
        <f t="shared" si="1"/>
        <v>0</v>
      </c>
      <c r="H47" s="17">
        <f>IF(B47="","",SUM($F$12:F47))</f>
        <v>0</v>
      </c>
      <c r="I47" s="17">
        <f>IF(B47="","",SUM($G$12:G47))</f>
        <v>0</v>
      </c>
      <c r="J47" s="17">
        <f t="shared" si="8"/>
        <v>0</v>
      </c>
      <c r="K47" s="18">
        <f t="shared" si="2"/>
        <v>0</v>
      </c>
      <c r="L47" s="27" t="str">
        <f t="shared" si="3"/>
        <v/>
      </c>
    </row>
    <row r="48" spans="2:12" x14ac:dyDescent="0.2">
      <c r="B48" s="15">
        <f t="shared" si="4"/>
        <v>37</v>
      </c>
      <c r="C48" s="16">
        <f t="shared" si="5"/>
        <v>4</v>
      </c>
      <c r="D48" s="17">
        <f t="shared" si="6"/>
        <v>0</v>
      </c>
      <c r="E48" s="17">
        <f t="shared" si="7"/>
        <v>0</v>
      </c>
      <c r="F48" s="17">
        <f t="shared" si="0"/>
        <v>0</v>
      </c>
      <c r="G48" s="17">
        <f t="shared" si="1"/>
        <v>0</v>
      </c>
      <c r="H48" s="17">
        <f>IF(B48="","",SUM($F$12:F48))</f>
        <v>0</v>
      </c>
      <c r="I48" s="17">
        <f>IF(B48="","",SUM($G$12:G48))</f>
        <v>0</v>
      </c>
      <c r="J48" s="17">
        <f t="shared" si="8"/>
        <v>0</v>
      </c>
      <c r="K48" s="18">
        <f t="shared" si="2"/>
        <v>0</v>
      </c>
      <c r="L48" s="27" t="str">
        <f t="shared" si="3"/>
        <v/>
      </c>
    </row>
    <row r="49" spans="2:12" x14ac:dyDescent="0.2">
      <c r="B49" s="15">
        <f t="shared" si="4"/>
        <v>38</v>
      </c>
      <c r="C49" s="16">
        <f t="shared" si="5"/>
        <v>4</v>
      </c>
      <c r="D49" s="17">
        <f t="shared" si="6"/>
        <v>0</v>
      </c>
      <c r="E49" s="17">
        <f t="shared" si="7"/>
        <v>0</v>
      </c>
      <c r="F49" s="17">
        <f t="shared" si="0"/>
        <v>0</v>
      </c>
      <c r="G49" s="17">
        <f t="shared" si="1"/>
        <v>0</v>
      </c>
      <c r="H49" s="17">
        <f>IF(B49="","",SUM($F$12:F49))</f>
        <v>0</v>
      </c>
      <c r="I49" s="17">
        <f>IF(B49="","",SUM($G$12:G49))</f>
        <v>0</v>
      </c>
      <c r="J49" s="17">
        <f t="shared" si="8"/>
        <v>0</v>
      </c>
      <c r="K49" s="18">
        <f t="shared" si="2"/>
        <v>0</v>
      </c>
      <c r="L49" s="27" t="str">
        <f t="shared" si="3"/>
        <v/>
      </c>
    </row>
    <row r="50" spans="2:12" x14ac:dyDescent="0.2">
      <c r="B50" s="15">
        <f t="shared" si="4"/>
        <v>39</v>
      </c>
      <c r="C50" s="16">
        <f t="shared" si="5"/>
        <v>4</v>
      </c>
      <c r="D50" s="17">
        <f t="shared" si="6"/>
        <v>0</v>
      </c>
      <c r="E50" s="17">
        <f t="shared" si="7"/>
        <v>0</v>
      </c>
      <c r="F50" s="17">
        <f t="shared" si="0"/>
        <v>0</v>
      </c>
      <c r="G50" s="17">
        <f t="shared" si="1"/>
        <v>0</v>
      </c>
      <c r="H50" s="17">
        <f>IF(B50="","",SUM($F$12:F50))</f>
        <v>0</v>
      </c>
      <c r="I50" s="17">
        <f>IF(B50="","",SUM($G$12:G50))</f>
        <v>0</v>
      </c>
      <c r="J50" s="17">
        <f t="shared" si="8"/>
        <v>0</v>
      </c>
      <c r="K50" s="18">
        <f t="shared" si="2"/>
        <v>0</v>
      </c>
      <c r="L50" s="27" t="str">
        <f t="shared" si="3"/>
        <v/>
      </c>
    </row>
    <row r="51" spans="2:12" x14ac:dyDescent="0.2">
      <c r="B51" s="15">
        <f t="shared" si="4"/>
        <v>40</v>
      </c>
      <c r="C51" s="16">
        <f t="shared" si="5"/>
        <v>4</v>
      </c>
      <c r="D51" s="17">
        <f t="shared" si="6"/>
        <v>0</v>
      </c>
      <c r="E51" s="17">
        <f t="shared" si="7"/>
        <v>0</v>
      </c>
      <c r="F51" s="17">
        <f t="shared" si="0"/>
        <v>0</v>
      </c>
      <c r="G51" s="17">
        <f t="shared" si="1"/>
        <v>0</v>
      </c>
      <c r="H51" s="17">
        <f>IF(B51="","",SUM($F$12:F51))</f>
        <v>0</v>
      </c>
      <c r="I51" s="17">
        <f>IF(B51="","",SUM($G$12:G51))</f>
        <v>0</v>
      </c>
      <c r="J51" s="17">
        <f t="shared" si="8"/>
        <v>0</v>
      </c>
      <c r="K51" s="18">
        <f t="shared" si="2"/>
        <v>0</v>
      </c>
      <c r="L51" s="27" t="str">
        <f t="shared" si="3"/>
        <v/>
      </c>
    </row>
    <row r="52" spans="2:12" x14ac:dyDescent="0.2">
      <c r="B52" s="15">
        <f t="shared" si="4"/>
        <v>41</v>
      </c>
      <c r="C52" s="16">
        <f t="shared" si="5"/>
        <v>4</v>
      </c>
      <c r="D52" s="17">
        <f t="shared" si="6"/>
        <v>0</v>
      </c>
      <c r="E52" s="17">
        <f t="shared" si="7"/>
        <v>0</v>
      </c>
      <c r="F52" s="17">
        <f t="shared" si="0"/>
        <v>0</v>
      </c>
      <c r="G52" s="17">
        <f t="shared" si="1"/>
        <v>0</v>
      </c>
      <c r="H52" s="17">
        <f>IF(B52="","",SUM($F$12:F52))</f>
        <v>0</v>
      </c>
      <c r="I52" s="17">
        <f>IF(B52="","",SUM($G$12:G52))</f>
        <v>0</v>
      </c>
      <c r="J52" s="17">
        <f t="shared" si="8"/>
        <v>0</v>
      </c>
      <c r="K52" s="18">
        <f t="shared" si="2"/>
        <v>0</v>
      </c>
      <c r="L52" s="27" t="str">
        <f t="shared" si="3"/>
        <v/>
      </c>
    </row>
    <row r="53" spans="2:12" x14ac:dyDescent="0.2">
      <c r="B53" s="15">
        <f t="shared" si="4"/>
        <v>42</v>
      </c>
      <c r="C53" s="16">
        <f t="shared" si="5"/>
        <v>4</v>
      </c>
      <c r="D53" s="17">
        <f t="shared" si="6"/>
        <v>0</v>
      </c>
      <c r="E53" s="17">
        <f t="shared" si="7"/>
        <v>0</v>
      </c>
      <c r="F53" s="17">
        <f t="shared" si="0"/>
        <v>0</v>
      </c>
      <c r="G53" s="17">
        <f t="shared" si="1"/>
        <v>0</v>
      </c>
      <c r="H53" s="17">
        <f>IF(B53="","",SUM($F$12:F53))</f>
        <v>0</v>
      </c>
      <c r="I53" s="17">
        <f>IF(B53="","",SUM($G$12:G53))</f>
        <v>0</v>
      </c>
      <c r="J53" s="17">
        <f t="shared" si="8"/>
        <v>0</v>
      </c>
      <c r="K53" s="18">
        <f t="shared" si="2"/>
        <v>0</v>
      </c>
      <c r="L53" s="27" t="str">
        <f t="shared" si="3"/>
        <v/>
      </c>
    </row>
    <row r="54" spans="2:12" x14ac:dyDescent="0.2">
      <c r="B54" s="15">
        <f t="shared" si="4"/>
        <v>43</v>
      </c>
      <c r="C54" s="16">
        <f t="shared" si="5"/>
        <v>4</v>
      </c>
      <c r="D54" s="17">
        <f t="shared" si="6"/>
        <v>0</v>
      </c>
      <c r="E54" s="17">
        <f t="shared" si="7"/>
        <v>0</v>
      </c>
      <c r="F54" s="17">
        <f t="shared" si="0"/>
        <v>0</v>
      </c>
      <c r="G54" s="17">
        <f t="shared" si="1"/>
        <v>0</v>
      </c>
      <c r="H54" s="17">
        <f>IF(B54="","",SUM($F$12:F54))</f>
        <v>0</v>
      </c>
      <c r="I54" s="17">
        <f>IF(B54="","",SUM($G$12:G54))</f>
        <v>0</v>
      </c>
      <c r="J54" s="17">
        <f t="shared" si="8"/>
        <v>0</v>
      </c>
      <c r="K54" s="18">
        <f t="shared" si="2"/>
        <v>0</v>
      </c>
      <c r="L54" s="27" t="str">
        <f t="shared" si="3"/>
        <v/>
      </c>
    </row>
    <row r="55" spans="2:12" x14ac:dyDescent="0.2">
      <c r="B55" s="15">
        <f t="shared" si="4"/>
        <v>44</v>
      </c>
      <c r="C55" s="16">
        <f t="shared" si="5"/>
        <v>4</v>
      </c>
      <c r="D55" s="17">
        <f t="shared" si="6"/>
        <v>0</v>
      </c>
      <c r="E55" s="17">
        <f t="shared" si="7"/>
        <v>0</v>
      </c>
      <c r="F55" s="17">
        <f t="shared" si="0"/>
        <v>0</v>
      </c>
      <c r="G55" s="17">
        <f t="shared" si="1"/>
        <v>0</v>
      </c>
      <c r="H55" s="17">
        <f>IF(B55="","",SUM($F$12:F55))</f>
        <v>0</v>
      </c>
      <c r="I55" s="17">
        <f>IF(B55="","",SUM($G$12:G55))</f>
        <v>0</v>
      </c>
      <c r="J55" s="17">
        <f t="shared" si="8"/>
        <v>0</v>
      </c>
      <c r="K55" s="18">
        <f t="shared" si="2"/>
        <v>0</v>
      </c>
      <c r="L55" s="27" t="str">
        <f t="shared" si="3"/>
        <v/>
      </c>
    </row>
    <row r="56" spans="2:12" x14ac:dyDescent="0.2">
      <c r="B56" s="15">
        <f t="shared" si="4"/>
        <v>45</v>
      </c>
      <c r="C56" s="16">
        <f t="shared" si="5"/>
        <v>4</v>
      </c>
      <c r="D56" s="17">
        <f t="shared" si="6"/>
        <v>0</v>
      </c>
      <c r="E56" s="17">
        <f t="shared" si="7"/>
        <v>0</v>
      </c>
      <c r="F56" s="17">
        <f t="shared" si="0"/>
        <v>0</v>
      </c>
      <c r="G56" s="17">
        <f t="shared" si="1"/>
        <v>0</v>
      </c>
      <c r="H56" s="17">
        <f>IF(B56="","",SUM($F$12:F56))</f>
        <v>0</v>
      </c>
      <c r="I56" s="17">
        <f>IF(B56="","",SUM($G$12:G56))</f>
        <v>0</v>
      </c>
      <c r="J56" s="17">
        <f t="shared" si="8"/>
        <v>0</v>
      </c>
      <c r="K56" s="18">
        <f t="shared" si="2"/>
        <v>0</v>
      </c>
      <c r="L56" s="27" t="str">
        <f t="shared" si="3"/>
        <v/>
      </c>
    </row>
    <row r="57" spans="2:12" x14ac:dyDescent="0.2">
      <c r="B57" s="15">
        <f t="shared" si="4"/>
        <v>46</v>
      </c>
      <c r="C57" s="16">
        <f t="shared" si="5"/>
        <v>4</v>
      </c>
      <c r="D57" s="17">
        <f t="shared" si="6"/>
        <v>0</v>
      </c>
      <c r="E57" s="17">
        <f t="shared" si="7"/>
        <v>0</v>
      </c>
      <c r="F57" s="17">
        <f t="shared" si="0"/>
        <v>0</v>
      </c>
      <c r="G57" s="17">
        <f t="shared" si="1"/>
        <v>0</v>
      </c>
      <c r="H57" s="17">
        <f>IF(B57="","",SUM($F$12:F57))</f>
        <v>0</v>
      </c>
      <c r="I57" s="17">
        <f>IF(B57="","",SUM($G$12:G57))</f>
        <v>0</v>
      </c>
      <c r="J57" s="17">
        <f t="shared" si="8"/>
        <v>0</v>
      </c>
      <c r="K57" s="18">
        <f t="shared" si="2"/>
        <v>0</v>
      </c>
      <c r="L57" s="27" t="str">
        <f t="shared" si="3"/>
        <v/>
      </c>
    </row>
    <row r="58" spans="2:12" x14ac:dyDescent="0.2">
      <c r="B58" s="15">
        <f t="shared" si="4"/>
        <v>47</v>
      </c>
      <c r="C58" s="16">
        <f t="shared" si="5"/>
        <v>4</v>
      </c>
      <c r="D58" s="17">
        <f t="shared" si="6"/>
        <v>0</v>
      </c>
      <c r="E58" s="17">
        <f t="shared" si="7"/>
        <v>0</v>
      </c>
      <c r="F58" s="17">
        <f t="shared" si="0"/>
        <v>0</v>
      </c>
      <c r="G58" s="17">
        <f t="shared" si="1"/>
        <v>0</v>
      </c>
      <c r="H58" s="17">
        <f>IF(B58="","",SUM($F$12:F58))</f>
        <v>0</v>
      </c>
      <c r="I58" s="17">
        <f>IF(B58="","",SUM($G$12:G58))</f>
        <v>0</v>
      </c>
      <c r="J58" s="17">
        <f t="shared" si="8"/>
        <v>0</v>
      </c>
      <c r="K58" s="18">
        <f t="shared" si="2"/>
        <v>0</v>
      </c>
      <c r="L58" s="27" t="str">
        <f t="shared" si="3"/>
        <v/>
      </c>
    </row>
    <row r="59" spans="2:12" x14ac:dyDescent="0.2">
      <c r="B59" s="15">
        <f t="shared" si="4"/>
        <v>48</v>
      </c>
      <c r="C59" s="16">
        <f t="shared" si="5"/>
        <v>4</v>
      </c>
      <c r="D59" s="17">
        <f t="shared" si="6"/>
        <v>0</v>
      </c>
      <c r="E59" s="17">
        <f t="shared" si="7"/>
        <v>0</v>
      </c>
      <c r="F59" s="17">
        <f t="shared" si="0"/>
        <v>0</v>
      </c>
      <c r="G59" s="17">
        <f t="shared" si="1"/>
        <v>0</v>
      </c>
      <c r="H59" s="17">
        <f>IF(B59="","",SUM($F$12:F59))</f>
        <v>0</v>
      </c>
      <c r="I59" s="17">
        <f>IF(B59="","",SUM($G$12:G59))</f>
        <v>0</v>
      </c>
      <c r="J59" s="17">
        <f t="shared" si="8"/>
        <v>0</v>
      </c>
      <c r="K59" s="18">
        <f t="shared" si="2"/>
        <v>0</v>
      </c>
      <c r="L59" s="27" t="str">
        <f t="shared" si="3"/>
        <v/>
      </c>
    </row>
    <row r="60" spans="2:12" x14ac:dyDescent="0.2">
      <c r="B60" s="15">
        <f t="shared" si="4"/>
        <v>49</v>
      </c>
      <c r="C60" s="16">
        <f t="shared" si="5"/>
        <v>5</v>
      </c>
      <c r="D60" s="17">
        <f t="shared" si="6"/>
        <v>0</v>
      </c>
      <c r="E60" s="17">
        <f t="shared" si="7"/>
        <v>0</v>
      </c>
      <c r="F60" s="17">
        <f t="shared" si="0"/>
        <v>0</v>
      </c>
      <c r="G60" s="17">
        <f t="shared" si="1"/>
        <v>0</v>
      </c>
      <c r="H60" s="17">
        <f>IF(B60="","",SUM($F$12:F60))</f>
        <v>0</v>
      </c>
      <c r="I60" s="17">
        <f>IF(B60="","",SUM($G$12:G60))</f>
        <v>0</v>
      </c>
      <c r="J60" s="17">
        <f t="shared" si="8"/>
        <v>0</v>
      </c>
      <c r="K60" s="18">
        <f t="shared" si="2"/>
        <v>0</v>
      </c>
      <c r="L60" s="27" t="str">
        <f t="shared" si="3"/>
        <v/>
      </c>
    </row>
    <row r="61" spans="2:12" x14ac:dyDescent="0.2">
      <c r="B61" s="15">
        <f t="shared" si="4"/>
        <v>50</v>
      </c>
      <c r="C61" s="16">
        <f t="shared" si="5"/>
        <v>5</v>
      </c>
      <c r="D61" s="17">
        <f t="shared" si="6"/>
        <v>0</v>
      </c>
      <c r="E61" s="17">
        <f t="shared" si="7"/>
        <v>0</v>
      </c>
      <c r="F61" s="17">
        <f t="shared" si="0"/>
        <v>0</v>
      </c>
      <c r="G61" s="17">
        <f t="shared" si="1"/>
        <v>0</v>
      </c>
      <c r="H61" s="17">
        <f>IF(B61="","",SUM($F$12:F61))</f>
        <v>0</v>
      </c>
      <c r="I61" s="17">
        <f>IF(B61="","",SUM($G$12:G61))</f>
        <v>0</v>
      </c>
      <c r="J61" s="17">
        <f t="shared" si="8"/>
        <v>0</v>
      </c>
      <c r="K61" s="18">
        <f t="shared" si="2"/>
        <v>0</v>
      </c>
      <c r="L61" s="27" t="str">
        <f t="shared" si="3"/>
        <v/>
      </c>
    </row>
    <row r="62" spans="2:12" x14ac:dyDescent="0.2">
      <c r="B62" s="15">
        <f t="shared" si="4"/>
        <v>51</v>
      </c>
      <c r="C62" s="16">
        <f t="shared" si="5"/>
        <v>5</v>
      </c>
      <c r="D62" s="17">
        <f t="shared" si="6"/>
        <v>0</v>
      </c>
      <c r="E62" s="17">
        <f t="shared" si="7"/>
        <v>0</v>
      </c>
      <c r="F62" s="17">
        <f t="shared" si="0"/>
        <v>0</v>
      </c>
      <c r="G62" s="17">
        <f t="shared" si="1"/>
        <v>0</v>
      </c>
      <c r="H62" s="17">
        <f>IF(B62="","",SUM($F$12:F62))</f>
        <v>0</v>
      </c>
      <c r="I62" s="17">
        <f>IF(B62="","",SUM($G$12:G62))</f>
        <v>0</v>
      </c>
      <c r="J62" s="17">
        <f t="shared" si="8"/>
        <v>0</v>
      </c>
      <c r="K62" s="18">
        <f t="shared" si="2"/>
        <v>0</v>
      </c>
      <c r="L62" s="27" t="str">
        <f t="shared" si="3"/>
        <v/>
      </c>
    </row>
    <row r="63" spans="2:12" x14ac:dyDescent="0.2">
      <c r="B63" s="15">
        <f t="shared" si="4"/>
        <v>52</v>
      </c>
      <c r="C63" s="16">
        <f t="shared" si="5"/>
        <v>5</v>
      </c>
      <c r="D63" s="17">
        <f t="shared" si="6"/>
        <v>0</v>
      </c>
      <c r="E63" s="17">
        <f t="shared" si="7"/>
        <v>0</v>
      </c>
      <c r="F63" s="17">
        <f t="shared" si="0"/>
        <v>0</v>
      </c>
      <c r="G63" s="17">
        <f t="shared" si="1"/>
        <v>0</v>
      </c>
      <c r="H63" s="17">
        <f>IF(B63="","",SUM($F$12:F63))</f>
        <v>0</v>
      </c>
      <c r="I63" s="17">
        <f>IF(B63="","",SUM($G$12:G63))</f>
        <v>0</v>
      </c>
      <c r="J63" s="17">
        <f t="shared" si="8"/>
        <v>0</v>
      </c>
      <c r="K63" s="18">
        <f t="shared" si="2"/>
        <v>0</v>
      </c>
      <c r="L63" s="27" t="str">
        <f t="shared" si="3"/>
        <v/>
      </c>
    </row>
    <row r="64" spans="2:12" x14ac:dyDescent="0.2">
      <c r="B64" s="15">
        <f t="shared" si="4"/>
        <v>53</v>
      </c>
      <c r="C64" s="16">
        <f t="shared" si="5"/>
        <v>5</v>
      </c>
      <c r="D64" s="17">
        <f t="shared" si="6"/>
        <v>0</v>
      </c>
      <c r="E64" s="17">
        <f t="shared" si="7"/>
        <v>0</v>
      </c>
      <c r="F64" s="17">
        <f t="shared" si="0"/>
        <v>0</v>
      </c>
      <c r="G64" s="17">
        <f t="shared" si="1"/>
        <v>0</v>
      </c>
      <c r="H64" s="17">
        <f>IF(B64="","",SUM($F$12:F64))</f>
        <v>0</v>
      </c>
      <c r="I64" s="17">
        <f>IF(B64="","",SUM($G$12:G64))</f>
        <v>0</v>
      </c>
      <c r="J64" s="17">
        <f t="shared" si="8"/>
        <v>0</v>
      </c>
      <c r="K64" s="18">
        <f t="shared" si="2"/>
        <v>0</v>
      </c>
      <c r="L64" s="27" t="str">
        <f t="shared" si="3"/>
        <v/>
      </c>
    </row>
    <row r="65" spans="2:12" x14ac:dyDescent="0.2">
      <c r="B65" s="15">
        <f t="shared" si="4"/>
        <v>54</v>
      </c>
      <c r="C65" s="16">
        <f t="shared" si="5"/>
        <v>5</v>
      </c>
      <c r="D65" s="17">
        <f t="shared" si="6"/>
        <v>0</v>
      </c>
      <c r="E65" s="17">
        <f t="shared" ref="E65:E128" si="9">IF(B65="","",PMT($H$9/12,$K$9*12,-$D$9))</f>
        <v>0</v>
      </c>
      <c r="F65" s="17">
        <f t="shared" si="0"/>
        <v>0</v>
      </c>
      <c r="G65" s="17">
        <f t="shared" si="1"/>
        <v>0</v>
      </c>
      <c r="H65" s="17">
        <f>IF(B65="","",SUM($F$12:F65))</f>
        <v>0</v>
      </c>
      <c r="I65" s="17">
        <f>IF(B65="","",SUM($G$12:G65))</f>
        <v>0</v>
      </c>
      <c r="J65" s="17">
        <f t="shared" ref="J65:J128" si="10">IF(B65="","",$E$12*B65)</f>
        <v>0</v>
      </c>
      <c r="K65" s="18">
        <f t="shared" ref="K65:K128" si="11">IF(B65="","",D65-G65)</f>
        <v>0</v>
      </c>
      <c r="L65" s="27" t="str">
        <f t="shared" si="3"/>
        <v/>
      </c>
    </row>
    <row r="66" spans="2:12" x14ac:dyDescent="0.2">
      <c r="B66" s="15">
        <f t="shared" si="4"/>
        <v>55</v>
      </c>
      <c r="C66" s="16">
        <f t="shared" si="5"/>
        <v>5</v>
      </c>
      <c r="D66" s="17">
        <f t="shared" si="6"/>
        <v>0</v>
      </c>
      <c r="E66" s="17">
        <f t="shared" si="9"/>
        <v>0</v>
      </c>
      <c r="F66" s="17">
        <f t="shared" si="0"/>
        <v>0</v>
      </c>
      <c r="G66" s="17">
        <f t="shared" si="1"/>
        <v>0</v>
      </c>
      <c r="H66" s="17">
        <f>IF(B66="","",SUM($F$12:F66))</f>
        <v>0</v>
      </c>
      <c r="I66" s="17">
        <f>IF(B66="","",SUM($G$12:G66))</f>
        <v>0</v>
      </c>
      <c r="J66" s="17">
        <f t="shared" si="10"/>
        <v>0</v>
      </c>
      <c r="K66" s="18">
        <f t="shared" si="11"/>
        <v>0</v>
      </c>
      <c r="L66" s="27" t="str">
        <f t="shared" si="3"/>
        <v/>
      </c>
    </row>
    <row r="67" spans="2:12" x14ac:dyDescent="0.2">
      <c r="B67" s="15">
        <f t="shared" si="4"/>
        <v>56</v>
      </c>
      <c r="C67" s="16">
        <f t="shared" si="5"/>
        <v>5</v>
      </c>
      <c r="D67" s="17">
        <f t="shared" si="6"/>
        <v>0</v>
      </c>
      <c r="E67" s="17">
        <f t="shared" si="9"/>
        <v>0</v>
      </c>
      <c r="F67" s="17">
        <f t="shared" si="0"/>
        <v>0</v>
      </c>
      <c r="G67" s="17">
        <f t="shared" si="1"/>
        <v>0</v>
      </c>
      <c r="H67" s="17">
        <f>IF(B67="","",SUM($F$12:F67))</f>
        <v>0</v>
      </c>
      <c r="I67" s="17">
        <f>IF(B67="","",SUM($G$12:G67))</f>
        <v>0</v>
      </c>
      <c r="J67" s="17">
        <f t="shared" si="10"/>
        <v>0</v>
      </c>
      <c r="K67" s="18">
        <f t="shared" si="11"/>
        <v>0</v>
      </c>
      <c r="L67" s="27" t="str">
        <f t="shared" si="3"/>
        <v/>
      </c>
    </row>
    <row r="68" spans="2:12" x14ac:dyDescent="0.2">
      <c r="B68" s="15">
        <f t="shared" si="4"/>
        <v>57</v>
      </c>
      <c r="C68" s="16">
        <f t="shared" si="5"/>
        <v>5</v>
      </c>
      <c r="D68" s="17">
        <f t="shared" si="6"/>
        <v>0</v>
      </c>
      <c r="E68" s="17">
        <f t="shared" si="9"/>
        <v>0</v>
      </c>
      <c r="F68" s="17">
        <f t="shared" si="0"/>
        <v>0</v>
      </c>
      <c r="G68" s="17">
        <f t="shared" si="1"/>
        <v>0</v>
      </c>
      <c r="H68" s="17">
        <f>IF(B68="","",SUM($F$12:F68))</f>
        <v>0</v>
      </c>
      <c r="I68" s="17">
        <f>IF(B68="","",SUM($G$12:G68))</f>
        <v>0</v>
      </c>
      <c r="J68" s="17">
        <f t="shared" si="10"/>
        <v>0</v>
      </c>
      <c r="K68" s="18">
        <f t="shared" si="11"/>
        <v>0</v>
      </c>
      <c r="L68" s="27" t="str">
        <f t="shared" si="3"/>
        <v/>
      </c>
    </row>
    <row r="69" spans="2:12" x14ac:dyDescent="0.2">
      <c r="B69" s="15">
        <f t="shared" si="4"/>
        <v>58</v>
      </c>
      <c r="C69" s="16">
        <f t="shared" si="5"/>
        <v>5</v>
      </c>
      <c r="D69" s="17">
        <f t="shared" si="6"/>
        <v>0</v>
      </c>
      <c r="E69" s="17">
        <f t="shared" si="9"/>
        <v>0</v>
      </c>
      <c r="F69" s="17">
        <f t="shared" si="0"/>
        <v>0</v>
      </c>
      <c r="G69" s="17">
        <f t="shared" si="1"/>
        <v>0</v>
      </c>
      <c r="H69" s="17">
        <f>IF(B69="","",SUM($F$12:F69))</f>
        <v>0</v>
      </c>
      <c r="I69" s="17">
        <f>IF(B69="","",SUM($G$12:G69))</f>
        <v>0</v>
      </c>
      <c r="J69" s="17">
        <f t="shared" si="10"/>
        <v>0</v>
      </c>
      <c r="K69" s="18">
        <f t="shared" si="11"/>
        <v>0</v>
      </c>
      <c r="L69" s="27" t="str">
        <f t="shared" si="3"/>
        <v/>
      </c>
    </row>
    <row r="70" spans="2:12" x14ac:dyDescent="0.2">
      <c r="B70" s="15">
        <f t="shared" si="4"/>
        <v>59</v>
      </c>
      <c r="C70" s="16">
        <f t="shared" si="5"/>
        <v>5</v>
      </c>
      <c r="D70" s="17">
        <f t="shared" si="6"/>
        <v>0</v>
      </c>
      <c r="E70" s="17">
        <f t="shared" si="9"/>
        <v>0</v>
      </c>
      <c r="F70" s="17">
        <f t="shared" si="0"/>
        <v>0</v>
      </c>
      <c r="G70" s="17">
        <f t="shared" si="1"/>
        <v>0</v>
      </c>
      <c r="H70" s="17">
        <f>IF(B70="","",SUM($F$12:F70))</f>
        <v>0</v>
      </c>
      <c r="I70" s="17">
        <f>IF(B70="","",SUM($G$12:G70))</f>
        <v>0</v>
      </c>
      <c r="J70" s="17">
        <f t="shared" si="10"/>
        <v>0</v>
      </c>
      <c r="K70" s="18">
        <f t="shared" si="11"/>
        <v>0</v>
      </c>
      <c r="L70" s="27" t="str">
        <f t="shared" si="3"/>
        <v/>
      </c>
    </row>
    <row r="71" spans="2:12" x14ac:dyDescent="0.2">
      <c r="B71" s="15">
        <f t="shared" si="4"/>
        <v>60</v>
      </c>
      <c r="C71" s="16">
        <f t="shared" si="5"/>
        <v>5</v>
      </c>
      <c r="D71" s="17">
        <f t="shared" si="6"/>
        <v>0</v>
      </c>
      <c r="E71" s="17">
        <f t="shared" si="9"/>
        <v>0</v>
      </c>
      <c r="F71" s="17">
        <f t="shared" si="0"/>
        <v>0</v>
      </c>
      <c r="G71" s="17">
        <f t="shared" si="1"/>
        <v>0</v>
      </c>
      <c r="H71" s="17">
        <f>IF(B71="","",SUM($F$12:F71))</f>
        <v>0</v>
      </c>
      <c r="I71" s="17">
        <f>IF(B71="","",SUM($G$12:G71))</f>
        <v>0</v>
      </c>
      <c r="J71" s="17">
        <f t="shared" si="10"/>
        <v>0</v>
      </c>
      <c r="K71" s="18">
        <f t="shared" si="11"/>
        <v>0</v>
      </c>
      <c r="L71" s="27" t="str">
        <f t="shared" si="3"/>
        <v/>
      </c>
    </row>
    <row r="72" spans="2:12" x14ac:dyDescent="0.2">
      <c r="B72" s="15">
        <f t="shared" si="4"/>
        <v>61</v>
      </c>
      <c r="C72" s="16">
        <f t="shared" si="5"/>
        <v>6</v>
      </c>
      <c r="D72" s="17">
        <f t="shared" si="6"/>
        <v>0</v>
      </c>
      <c r="E72" s="17">
        <f t="shared" si="9"/>
        <v>0</v>
      </c>
      <c r="F72" s="17">
        <f t="shared" si="0"/>
        <v>0</v>
      </c>
      <c r="G72" s="17">
        <f t="shared" si="1"/>
        <v>0</v>
      </c>
      <c r="H72" s="17">
        <f>IF(B72="","",SUM($F$12:F72))</f>
        <v>0</v>
      </c>
      <c r="I72" s="17">
        <f>IF(B72="","",SUM($G$12:G72))</f>
        <v>0</v>
      </c>
      <c r="J72" s="17">
        <f t="shared" si="10"/>
        <v>0</v>
      </c>
      <c r="K72" s="18">
        <f t="shared" si="11"/>
        <v>0</v>
      </c>
      <c r="L72" s="27" t="str">
        <f t="shared" si="3"/>
        <v/>
      </c>
    </row>
    <row r="73" spans="2:12" x14ac:dyDescent="0.2">
      <c r="B73" s="15">
        <f t="shared" si="4"/>
        <v>62</v>
      </c>
      <c r="C73" s="16">
        <f t="shared" si="5"/>
        <v>6</v>
      </c>
      <c r="D73" s="17">
        <f t="shared" si="6"/>
        <v>0</v>
      </c>
      <c r="E73" s="17">
        <f t="shared" si="9"/>
        <v>0</v>
      </c>
      <c r="F73" s="17">
        <f t="shared" si="0"/>
        <v>0</v>
      </c>
      <c r="G73" s="17">
        <f t="shared" si="1"/>
        <v>0</v>
      </c>
      <c r="H73" s="17">
        <f>IF(B73="","",SUM($F$12:F73))</f>
        <v>0</v>
      </c>
      <c r="I73" s="17">
        <f>IF(B73="","",SUM($G$12:G73))</f>
        <v>0</v>
      </c>
      <c r="J73" s="17">
        <f t="shared" si="10"/>
        <v>0</v>
      </c>
      <c r="K73" s="18">
        <f t="shared" si="11"/>
        <v>0</v>
      </c>
      <c r="L73" s="27" t="str">
        <f t="shared" si="3"/>
        <v/>
      </c>
    </row>
    <row r="74" spans="2:12" x14ac:dyDescent="0.2">
      <c r="B74" s="15">
        <f t="shared" si="4"/>
        <v>63</v>
      </c>
      <c r="C74" s="16">
        <f t="shared" si="5"/>
        <v>6</v>
      </c>
      <c r="D74" s="17">
        <f t="shared" si="6"/>
        <v>0</v>
      </c>
      <c r="E74" s="17">
        <f t="shared" si="9"/>
        <v>0</v>
      </c>
      <c r="F74" s="17">
        <f t="shared" si="0"/>
        <v>0</v>
      </c>
      <c r="G74" s="17">
        <f t="shared" si="1"/>
        <v>0</v>
      </c>
      <c r="H74" s="17">
        <f>IF(B74="","",SUM($F$12:F74))</f>
        <v>0</v>
      </c>
      <c r="I74" s="17">
        <f>IF(B74="","",SUM($G$12:G74))</f>
        <v>0</v>
      </c>
      <c r="J74" s="17">
        <f t="shared" si="10"/>
        <v>0</v>
      </c>
      <c r="K74" s="18">
        <f t="shared" si="11"/>
        <v>0</v>
      </c>
      <c r="L74" s="27" t="str">
        <f t="shared" si="3"/>
        <v/>
      </c>
    </row>
    <row r="75" spans="2:12" x14ac:dyDescent="0.2">
      <c r="B75" s="15">
        <f t="shared" si="4"/>
        <v>64</v>
      </c>
      <c r="C75" s="16">
        <f t="shared" si="5"/>
        <v>6</v>
      </c>
      <c r="D75" s="17">
        <f t="shared" si="6"/>
        <v>0</v>
      </c>
      <c r="E75" s="17">
        <f t="shared" si="9"/>
        <v>0</v>
      </c>
      <c r="F75" s="17">
        <f t="shared" si="0"/>
        <v>0</v>
      </c>
      <c r="G75" s="17">
        <f t="shared" si="1"/>
        <v>0</v>
      </c>
      <c r="H75" s="17">
        <f>IF(B75="","",SUM($F$12:F75))</f>
        <v>0</v>
      </c>
      <c r="I75" s="17">
        <f>IF(B75="","",SUM($G$12:G75))</f>
        <v>0</v>
      </c>
      <c r="J75" s="17">
        <f t="shared" si="10"/>
        <v>0</v>
      </c>
      <c r="K75" s="18">
        <f t="shared" si="11"/>
        <v>0</v>
      </c>
      <c r="L75" s="27" t="str">
        <f t="shared" si="3"/>
        <v/>
      </c>
    </row>
    <row r="76" spans="2:12" x14ac:dyDescent="0.2">
      <c r="B76" s="15">
        <f t="shared" si="4"/>
        <v>65</v>
      </c>
      <c r="C76" s="16">
        <f t="shared" si="5"/>
        <v>6</v>
      </c>
      <c r="D76" s="17">
        <f t="shared" si="6"/>
        <v>0</v>
      </c>
      <c r="E76" s="17">
        <f t="shared" si="9"/>
        <v>0</v>
      </c>
      <c r="F76" s="17">
        <f t="shared" si="0"/>
        <v>0</v>
      </c>
      <c r="G76" s="17">
        <f t="shared" si="1"/>
        <v>0</v>
      </c>
      <c r="H76" s="17">
        <f>IF(B76="","",SUM($F$12:F76))</f>
        <v>0</v>
      </c>
      <c r="I76" s="17">
        <f>IF(B76="","",SUM($G$12:G76))</f>
        <v>0</v>
      </c>
      <c r="J76" s="17">
        <f t="shared" si="10"/>
        <v>0</v>
      </c>
      <c r="K76" s="18">
        <f t="shared" si="11"/>
        <v>0</v>
      </c>
      <c r="L76" s="27" t="str">
        <f t="shared" si="3"/>
        <v/>
      </c>
    </row>
    <row r="77" spans="2:12" x14ac:dyDescent="0.2">
      <c r="B77" s="15">
        <f t="shared" si="4"/>
        <v>66</v>
      </c>
      <c r="C77" s="16">
        <f t="shared" si="5"/>
        <v>6</v>
      </c>
      <c r="D77" s="17">
        <f t="shared" si="6"/>
        <v>0</v>
      </c>
      <c r="E77" s="17">
        <f t="shared" si="9"/>
        <v>0</v>
      </c>
      <c r="F77" s="17">
        <f t="shared" ref="F77:F140" si="12">IF(B77="","",IPMT($H$9/12,B77,$K$9*12,-$D$9))</f>
        <v>0</v>
      </c>
      <c r="G77" s="17">
        <f t="shared" ref="G77:G140" si="13">IF(B77="","",PPMT($H$9/12,B77,$K$9*12,-$D$9))</f>
        <v>0</v>
      </c>
      <c r="H77" s="17">
        <f>IF(B77="","",SUM($F$12:F77))</f>
        <v>0</v>
      </c>
      <c r="I77" s="17">
        <f>IF(B77="","",SUM($G$12:G77))</f>
        <v>0</v>
      </c>
      <c r="J77" s="17">
        <f t="shared" si="10"/>
        <v>0</v>
      </c>
      <c r="K77" s="18">
        <f t="shared" si="11"/>
        <v>0</v>
      </c>
      <c r="L77" s="27" t="str">
        <f t="shared" ref="L77:L140" si="14">IF(B77=$K$9*12,J77/$D$9,"")</f>
        <v/>
      </c>
    </row>
    <row r="78" spans="2:12" x14ac:dyDescent="0.2">
      <c r="B78" s="15">
        <f t="shared" ref="B78:B141" si="15">IF(ROW()-11&gt;$K$9*12,"",ROW()-11)</f>
        <v>67</v>
      </c>
      <c r="C78" s="16">
        <f t="shared" ref="C78:C141" si="16">IF(B78="","",ROUNDUP(B78/12,0))</f>
        <v>6</v>
      </c>
      <c r="D78" s="17">
        <f t="shared" ref="D78:D141" si="17">IF(B78="","",K77)</f>
        <v>0</v>
      </c>
      <c r="E78" s="17">
        <f t="shared" si="9"/>
        <v>0</v>
      </c>
      <c r="F78" s="17">
        <f t="shared" si="12"/>
        <v>0</v>
      </c>
      <c r="G78" s="17">
        <f t="shared" si="13"/>
        <v>0</v>
      </c>
      <c r="H78" s="17">
        <f>IF(B78="","",SUM($F$12:F78))</f>
        <v>0</v>
      </c>
      <c r="I78" s="17">
        <f>IF(B78="","",SUM($G$12:G78))</f>
        <v>0</v>
      </c>
      <c r="J78" s="17">
        <f t="shared" si="10"/>
        <v>0</v>
      </c>
      <c r="K78" s="18">
        <f t="shared" si="11"/>
        <v>0</v>
      </c>
      <c r="L78" s="27" t="str">
        <f t="shared" si="14"/>
        <v/>
      </c>
    </row>
    <row r="79" spans="2:12" x14ac:dyDescent="0.2">
      <c r="B79" s="15">
        <f t="shared" si="15"/>
        <v>68</v>
      </c>
      <c r="C79" s="16">
        <f t="shared" si="16"/>
        <v>6</v>
      </c>
      <c r="D79" s="17">
        <f t="shared" si="17"/>
        <v>0</v>
      </c>
      <c r="E79" s="17">
        <f t="shared" si="9"/>
        <v>0</v>
      </c>
      <c r="F79" s="17">
        <f t="shared" si="12"/>
        <v>0</v>
      </c>
      <c r="G79" s="17">
        <f t="shared" si="13"/>
        <v>0</v>
      </c>
      <c r="H79" s="17">
        <f>IF(B79="","",SUM($F$12:F79))</f>
        <v>0</v>
      </c>
      <c r="I79" s="17">
        <f>IF(B79="","",SUM($G$12:G79))</f>
        <v>0</v>
      </c>
      <c r="J79" s="17">
        <f t="shared" si="10"/>
        <v>0</v>
      </c>
      <c r="K79" s="18">
        <f t="shared" si="11"/>
        <v>0</v>
      </c>
      <c r="L79" s="27" t="str">
        <f t="shared" si="14"/>
        <v/>
      </c>
    </row>
    <row r="80" spans="2:12" x14ac:dyDescent="0.2">
      <c r="B80" s="15">
        <f t="shared" si="15"/>
        <v>69</v>
      </c>
      <c r="C80" s="16">
        <f t="shared" si="16"/>
        <v>6</v>
      </c>
      <c r="D80" s="17">
        <f t="shared" si="17"/>
        <v>0</v>
      </c>
      <c r="E80" s="17">
        <f t="shared" si="9"/>
        <v>0</v>
      </c>
      <c r="F80" s="17">
        <f t="shared" si="12"/>
        <v>0</v>
      </c>
      <c r="G80" s="17">
        <f t="shared" si="13"/>
        <v>0</v>
      </c>
      <c r="H80" s="17">
        <f>IF(B80="","",SUM($F$12:F80))</f>
        <v>0</v>
      </c>
      <c r="I80" s="17">
        <f>IF(B80="","",SUM($G$12:G80))</f>
        <v>0</v>
      </c>
      <c r="J80" s="17">
        <f t="shared" si="10"/>
        <v>0</v>
      </c>
      <c r="K80" s="18">
        <f t="shared" si="11"/>
        <v>0</v>
      </c>
      <c r="L80" s="27" t="str">
        <f t="shared" si="14"/>
        <v/>
      </c>
    </row>
    <row r="81" spans="2:12" x14ac:dyDescent="0.2">
      <c r="B81" s="15">
        <f t="shared" si="15"/>
        <v>70</v>
      </c>
      <c r="C81" s="16">
        <f t="shared" si="16"/>
        <v>6</v>
      </c>
      <c r="D81" s="17">
        <f t="shared" si="17"/>
        <v>0</v>
      </c>
      <c r="E81" s="17">
        <f t="shared" si="9"/>
        <v>0</v>
      </c>
      <c r="F81" s="17">
        <f t="shared" si="12"/>
        <v>0</v>
      </c>
      <c r="G81" s="17">
        <f t="shared" si="13"/>
        <v>0</v>
      </c>
      <c r="H81" s="17">
        <f>IF(B81="","",SUM($F$12:F81))</f>
        <v>0</v>
      </c>
      <c r="I81" s="17">
        <f>IF(B81="","",SUM($G$12:G81))</f>
        <v>0</v>
      </c>
      <c r="J81" s="17">
        <f t="shared" si="10"/>
        <v>0</v>
      </c>
      <c r="K81" s="18">
        <f t="shared" si="11"/>
        <v>0</v>
      </c>
      <c r="L81" s="27" t="str">
        <f t="shared" si="14"/>
        <v/>
      </c>
    </row>
    <row r="82" spans="2:12" x14ac:dyDescent="0.2">
      <c r="B82" s="15">
        <f t="shared" si="15"/>
        <v>71</v>
      </c>
      <c r="C82" s="16">
        <f t="shared" si="16"/>
        <v>6</v>
      </c>
      <c r="D82" s="17">
        <f t="shared" si="17"/>
        <v>0</v>
      </c>
      <c r="E82" s="17">
        <f t="shared" si="9"/>
        <v>0</v>
      </c>
      <c r="F82" s="17">
        <f t="shared" si="12"/>
        <v>0</v>
      </c>
      <c r="G82" s="17">
        <f t="shared" si="13"/>
        <v>0</v>
      </c>
      <c r="H82" s="17">
        <f>IF(B82="","",SUM($F$12:F82))</f>
        <v>0</v>
      </c>
      <c r="I82" s="17">
        <f>IF(B82="","",SUM($G$12:G82))</f>
        <v>0</v>
      </c>
      <c r="J82" s="17">
        <f t="shared" si="10"/>
        <v>0</v>
      </c>
      <c r="K82" s="18">
        <f t="shared" si="11"/>
        <v>0</v>
      </c>
      <c r="L82" s="27" t="str">
        <f t="shared" si="14"/>
        <v/>
      </c>
    </row>
    <row r="83" spans="2:12" x14ac:dyDescent="0.2">
      <c r="B83" s="15">
        <f t="shared" si="15"/>
        <v>72</v>
      </c>
      <c r="C83" s="16">
        <f t="shared" si="16"/>
        <v>6</v>
      </c>
      <c r="D83" s="17">
        <f t="shared" si="17"/>
        <v>0</v>
      </c>
      <c r="E83" s="17">
        <f t="shared" si="9"/>
        <v>0</v>
      </c>
      <c r="F83" s="17">
        <f t="shared" si="12"/>
        <v>0</v>
      </c>
      <c r="G83" s="17">
        <f t="shared" si="13"/>
        <v>0</v>
      </c>
      <c r="H83" s="17">
        <f>IF(B83="","",SUM($F$12:F83))</f>
        <v>0</v>
      </c>
      <c r="I83" s="17">
        <f>IF(B83="","",SUM($G$12:G83))</f>
        <v>0</v>
      </c>
      <c r="J83" s="17">
        <f t="shared" si="10"/>
        <v>0</v>
      </c>
      <c r="K83" s="18">
        <f t="shared" si="11"/>
        <v>0</v>
      </c>
      <c r="L83" s="27" t="str">
        <f t="shared" si="14"/>
        <v/>
      </c>
    </row>
    <row r="84" spans="2:12" x14ac:dyDescent="0.2">
      <c r="B84" s="15">
        <f t="shared" si="15"/>
        <v>73</v>
      </c>
      <c r="C84" s="16">
        <f t="shared" si="16"/>
        <v>7</v>
      </c>
      <c r="D84" s="17">
        <f t="shared" si="17"/>
        <v>0</v>
      </c>
      <c r="E84" s="17">
        <f t="shared" si="9"/>
        <v>0</v>
      </c>
      <c r="F84" s="17">
        <f t="shared" si="12"/>
        <v>0</v>
      </c>
      <c r="G84" s="17">
        <f t="shared" si="13"/>
        <v>0</v>
      </c>
      <c r="H84" s="17">
        <f>IF(B84="","",SUM($F$12:F84))</f>
        <v>0</v>
      </c>
      <c r="I84" s="17">
        <f>IF(B84="","",SUM($G$12:G84))</f>
        <v>0</v>
      </c>
      <c r="J84" s="17">
        <f t="shared" si="10"/>
        <v>0</v>
      </c>
      <c r="K84" s="18">
        <f t="shared" si="11"/>
        <v>0</v>
      </c>
      <c r="L84" s="27" t="str">
        <f t="shared" si="14"/>
        <v/>
      </c>
    </row>
    <row r="85" spans="2:12" x14ac:dyDescent="0.2">
      <c r="B85" s="15">
        <f t="shared" si="15"/>
        <v>74</v>
      </c>
      <c r="C85" s="16">
        <f t="shared" si="16"/>
        <v>7</v>
      </c>
      <c r="D85" s="17">
        <f t="shared" si="17"/>
        <v>0</v>
      </c>
      <c r="E85" s="17">
        <f t="shared" si="9"/>
        <v>0</v>
      </c>
      <c r="F85" s="17">
        <f t="shared" si="12"/>
        <v>0</v>
      </c>
      <c r="G85" s="17">
        <f t="shared" si="13"/>
        <v>0</v>
      </c>
      <c r="H85" s="17">
        <f>IF(B85="","",SUM($F$12:F85))</f>
        <v>0</v>
      </c>
      <c r="I85" s="17">
        <f>IF(B85="","",SUM($G$12:G85))</f>
        <v>0</v>
      </c>
      <c r="J85" s="17">
        <f t="shared" si="10"/>
        <v>0</v>
      </c>
      <c r="K85" s="18">
        <f t="shared" si="11"/>
        <v>0</v>
      </c>
      <c r="L85" s="27" t="str">
        <f t="shared" si="14"/>
        <v/>
      </c>
    </row>
    <row r="86" spans="2:12" x14ac:dyDescent="0.2">
      <c r="B86" s="15">
        <f t="shared" si="15"/>
        <v>75</v>
      </c>
      <c r="C86" s="16">
        <f t="shared" si="16"/>
        <v>7</v>
      </c>
      <c r="D86" s="17">
        <f t="shared" si="17"/>
        <v>0</v>
      </c>
      <c r="E86" s="17">
        <f t="shared" si="9"/>
        <v>0</v>
      </c>
      <c r="F86" s="17">
        <f t="shared" si="12"/>
        <v>0</v>
      </c>
      <c r="G86" s="17">
        <f t="shared" si="13"/>
        <v>0</v>
      </c>
      <c r="H86" s="17">
        <f>IF(B86="","",SUM($F$12:F86))</f>
        <v>0</v>
      </c>
      <c r="I86" s="17">
        <f>IF(B86="","",SUM($G$12:G86))</f>
        <v>0</v>
      </c>
      <c r="J86" s="17">
        <f t="shared" si="10"/>
        <v>0</v>
      </c>
      <c r="K86" s="18">
        <f t="shared" si="11"/>
        <v>0</v>
      </c>
      <c r="L86" s="27" t="str">
        <f t="shared" si="14"/>
        <v/>
      </c>
    </row>
    <row r="87" spans="2:12" x14ac:dyDescent="0.2">
      <c r="B87" s="15">
        <f t="shared" si="15"/>
        <v>76</v>
      </c>
      <c r="C87" s="16">
        <f t="shared" si="16"/>
        <v>7</v>
      </c>
      <c r="D87" s="17">
        <f t="shared" si="17"/>
        <v>0</v>
      </c>
      <c r="E87" s="17">
        <f t="shared" si="9"/>
        <v>0</v>
      </c>
      <c r="F87" s="17">
        <f t="shared" si="12"/>
        <v>0</v>
      </c>
      <c r="G87" s="17">
        <f t="shared" si="13"/>
        <v>0</v>
      </c>
      <c r="H87" s="17">
        <f>IF(B87="","",SUM($F$12:F87))</f>
        <v>0</v>
      </c>
      <c r="I87" s="17">
        <f>IF(B87="","",SUM($G$12:G87))</f>
        <v>0</v>
      </c>
      <c r="J87" s="17">
        <f t="shared" si="10"/>
        <v>0</v>
      </c>
      <c r="K87" s="18">
        <f t="shared" si="11"/>
        <v>0</v>
      </c>
      <c r="L87" s="27" t="str">
        <f t="shared" si="14"/>
        <v/>
      </c>
    </row>
    <row r="88" spans="2:12" x14ac:dyDescent="0.2">
      <c r="B88" s="15">
        <f t="shared" si="15"/>
        <v>77</v>
      </c>
      <c r="C88" s="16">
        <f t="shared" si="16"/>
        <v>7</v>
      </c>
      <c r="D88" s="17">
        <f t="shared" si="17"/>
        <v>0</v>
      </c>
      <c r="E88" s="17">
        <f t="shared" si="9"/>
        <v>0</v>
      </c>
      <c r="F88" s="17">
        <f t="shared" si="12"/>
        <v>0</v>
      </c>
      <c r="G88" s="17">
        <f t="shared" si="13"/>
        <v>0</v>
      </c>
      <c r="H88" s="17">
        <f>IF(B88="","",SUM($F$12:F88))</f>
        <v>0</v>
      </c>
      <c r="I88" s="17">
        <f>IF(B88="","",SUM($G$12:G88))</f>
        <v>0</v>
      </c>
      <c r="J88" s="17">
        <f t="shared" si="10"/>
        <v>0</v>
      </c>
      <c r="K88" s="18">
        <f t="shared" si="11"/>
        <v>0</v>
      </c>
      <c r="L88" s="27" t="str">
        <f t="shared" si="14"/>
        <v/>
      </c>
    </row>
    <row r="89" spans="2:12" x14ac:dyDescent="0.2">
      <c r="B89" s="15">
        <f t="shared" si="15"/>
        <v>78</v>
      </c>
      <c r="C89" s="16">
        <f t="shared" si="16"/>
        <v>7</v>
      </c>
      <c r="D89" s="17">
        <f t="shared" si="17"/>
        <v>0</v>
      </c>
      <c r="E89" s="17">
        <f t="shared" si="9"/>
        <v>0</v>
      </c>
      <c r="F89" s="17">
        <f t="shared" si="12"/>
        <v>0</v>
      </c>
      <c r="G89" s="17">
        <f t="shared" si="13"/>
        <v>0</v>
      </c>
      <c r="H89" s="17">
        <f>IF(B89="","",SUM($F$12:F89))</f>
        <v>0</v>
      </c>
      <c r="I89" s="17">
        <f>IF(B89="","",SUM($G$12:G89))</f>
        <v>0</v>
      </c>
      <c r="J89" s="17">
        <f t="shared" si="10"/>
        <v>0</v>
      </c>
      <c r="K89" s="18">
        <f t="shared" si="11"/>
        <v>0</v>
      </c>
      <c r="L89" s="27" t="str">
        <f t="shared" si="14"/>
        <v/>
      </c>
    </row>
    <row r="90" spans="2:12" x14ac:dyDescent="0.2">
      <c r="B90" s="15">
        <f t="shared" si="15"/>
        <v>79</v>
      </c>
      <c r="C90" s="16">
        <f t="shared" si="16"/>
        <v>7</v>
      </c>
      <c r="D90" s="17">
        <f t="shared" si="17"/>
        <v>0</v>
      </c>
      <c r="E90" s="17">
        <f t="shared" si="9"/>
        <v>0</v>
      </c>
      <c r="F90" s="17">
        <f t="shared" si="12"/>
        <v>0</v>
      </c>
      <c r="G90" s="17">
        <f t="shared" si="13"/>
        <v>0</v>
      </c>
      <c r="H90" s="17">
        <f>IF(B90="","",SUM($F$12:F90))</f>
        <v>0</v>
      </c>
      <c r="I90" s="17">
        <f>IF(B90="","",SUM($G$12:G90))</f>
        <v>0</v>
      </c>
      <c r="J90" s="17">
        <f t="shared" si="10"/>
        <v>0</v>
      </c>
      <c r="K90" s="18">
        <f t="shared" si="11"/>
        <v>0</v>
      </c>
      <c r="L90" s="27" t="str">
        <f t="shared" si="14"/>
        <v/>
      </c>
    </row>
    <row r="91" spans="2:12" x14ac:dyDescent="0.2">
      <c r="B91" s="15">
        <f t="shared" si="15"/>
        <v>80</v>
      </c>
      <c r="C91" s="16">
        <f t="shared" si="16"/>
        <v>7</v>
      </c>
      <c r="D91" s="17">
        <f t="shared" si="17"/>
        <v>0</v>
      </c>
      <c r="E91" s="17">
        <f t="shared" si="9"/>
        <v>0</v>
      </c>
      <c r="F91" s="17">
        <f t="shared" si="12"/>
        <v>0</v>
      </c>
      <c r="G91" s="17">
        <f t="shared" si="13"/>
        <v>0</v>
      </c>
      <c r="H91" s="17">
        <f>IF(B91="","",SUM($F$12:F91))</f>
        <v>0</v>
      </c>
      <c r="I91" s="17">
        <f>IF(B91="","",SUM($G$12:G91))</f>
        <v>0</v>
      </c>
      <c r="J91" s="17">
        <f t="shared" si="10"/>
        <v>0</v>
      </c>
      <c r="K91" s="18">
        <f t="shared" si="11"/>
        <v>0</v>
      </c>
      <c r="L91" s="27" t="str">
        <f t="shared" si="14"/>
        <v/>
      </c>
    </row>
    <row r="92" spans="2:12" x14ac:dyDescent="0.2">
      <c r="B92" s="15">
        <f t="shared" si="15"/>
        <v>81</v>
      </c>
      <c r="C92" s="16">
        <f t="shared" si="16"/>
        <v>7</v>
      </c>
      <c r="D92" s="17">
        <f t="shared" si="17"/>
        <v>0</v>
      </c>
      <c r="E92" s="17">
        <f t="shared" si="9"/>
        <v>0</v>
      </c>
      <c r="F92" s="17">
        <f t="shared" si="12"/>
        <v>0</v>
      </c>
      <c r="G92" s="17">
        <f t="shared" si="13"/>
        <v>0</v>
      </c>
      <c r="H92" s="17">
        <f>IF(B92="","",SUM($F$12:F92))</f>
        <v>0</v>
      </c>
      <c r="I92" s="17">
        <f>IF(B92="","",SUM($G$12:G92))</f>
        <v>0</v>
      </c>
      <c r="J92" s="17">
        <f t="shared" si="10"/>
        <v>0</v>
      </c>
      <c r="K92" s="18">
        <f t="shared" si="11"/>
        <v>0</v>
      </c>
      <c r="L92" s="27" t="str">
        <f t="shared" si="14"/>
        <v/>
      </c>
    </row>
    <row r="93" spans="2:12" x14ac:dyDescent="0.2">
      <c r="B93" s="15">
        <f t="shared" si="15"/>
        <v>82</v>
      </c>
      <c r="C93" s="16">
        <f t="shared" si="16"/>
        <v>7</v>
      </c>
      <c r="D93" s="17">
        <f t="shared" si="17"/>
        <v>0</v>
      </c>
      <c r="E93" s="17">
        <f t="shared" si="9"/>
        <v>0</v>
      </c>
      <c r="F93" s="17">
        <f t="shared" si="12"/>
        <v>0</v>
      </c>
      <c r="G93" s="17">
        <f t="shared" si="13"/>
        <v>0</v>
      </c>
      <c r="H93" s="17">
        <f>IF(B93="","",SUM($F$12:F93))</f>
        <v>0</v>
      </c>
      <c r="I93" s="17">
        <f>IF(B93="","",SUM($G$12:G93))</f>
        <v>0</v>
      </c>
      <c r="J93" s="17">
        <f t="shared" si="10"/>
        <v>0</v>
      </c>
      <c r="K93" s="18">
        <f t="shared" si="11"/>
        <v>0</v>
      </c>
      <c r="L93" s="27" t="str">
        <f t="shared" si="14"/>
        <v/>
      </c>
    </row>
    <row r="94" spans="2:12" x14ac:dyDescent="0.2">
      <c r="B94" s="15">
        <f t="shared" si="15"/>
        <v>83</v>
      </c>
      <c r="C94" s="16">
        <f t="shared" si="16"/>
        <v>7</v>
      </c>
      <c r="D94" s="17">
        <f t="shared" si="17"/>
        <v>0</v>
      </c>
      <c r="E94" s="17">
        <f t="shared" si="9"/>
        <v>0</v>
      </c>
      <c r="F94" s="17">
        <f t="shared" si="12"/>
        <v>0</v>
      </c>
      <c r="G94" s="17">
        <f t="shared" si="13"/>
        <v>0</v>
      </c>
      <c r="H94" s="17">
        <f>IF(B94="","",SUM($F$12:F94))</f>
        <v>0</v>
      </c>
      <c r="I94" s="17">
        <f>IF(B94="","",SUM($G$12:G94))</f>
        <v>0</v>
      </c>
      <c r="J94" s="17">
        <f t="shared" si="10"/>
        <v>0</v>
      </c>
      <c r="K94" s="18">
        <f t="shared" si="11"/>
        <v>0</v>
      </c>
      <c r="L94" s="27" t="str">
        <f t="shared" si="14"/>
        <v/>
      </c>
    </row>
    <row r="95" spans="2:12" x14ac:dyDescent="0.2">
      <c r="B95" s="15">
        <f t="shared" si="15"/>
        <v>84</v>
      </c>
      <c r="C95" s="16">
        <f t="shared" si="16"/>
        <v>7</v>
      </c>
      <c r="D95" s="17">
        <f t="shared" si="17"/>
        <v>0</v>
      </c>
      <c r="E95" s="17">
        <f t="shared" si="9"/>
        <v>0</v>
      </c>
      <c r="F95" s="17">
        <f t="shared" si="12"/>
        <v>0</v>
      </c>
      <c r="G95" s="17">
        <f t="shared" si="13"/>
        <v>0</v>
      </c>
      <c r="H95" s="17">
        <f>IF(B95="","",SUM($F$12:F95))</f>
        <v>0</v>
      </c>
      <c r="I95" s="17">
        <f>IF(B95="","",SUM($G$12:G95))</f>
        <v>0</v>
      </c>
      <c r="J95" s="17">
        <f t="shared" si="10"/>
        <v>0</v>
      </c>
      <c r="K95" s="18">
        <f t="shared" si="11"/>
        <v>0</v>
      </c>
      <c r="L95" s="27" t="str">
        <f t="shared" si="14"/>
        <v/>
      </c>
    </row>
    <row r="96" spans="2:12" x14ac:dyDescent="0.2">
      <c r="B96" s="15">
        <f t="shared" si="15"/>
        <v>85</v>
      </c>
      <c r="C96" s="16">
        <f t="shared" si="16"/>
        <v>8</v>
      </c>
      <c r="D96" s="17">
        <f t="shared" si="17"/>
        <v>0</v>
      </c>
      <c r="E96" s="17">
        <f t="shared" si="9"/>
        <v>0</v>
      </c>
      <c r="F96" s="17">
        <f t="shared" si="12"/>
        <v>0</v>
      </c>
      <c r="G96" s="17">
        <f t="shared" si="13"/>
        <v>0</v>
      </c>
      <c r="H96" s="17">
        <f>IF(B96="","",SUM($F$12:F96))</f>
        <v>0</v>
      </c>
      <c r="I96" s="17">
        <f>IF(B96="","",SUM($G$12:G96))</f>
        <v>0</v>
      </c>
      <c r="J96" s="17">
        <f t="shared" si="10"/>
        <v>0</v>
      </c>
      <c r="K96" s="18">
        <f t="shared" si="11"/>
        <v>0</v>
      </c>
      <c r="L96" s="27" t="str">
        <f t="shared" si="14"/>
        <v/>
      </c>
    </row>
    <row r="97" spans="2:12" x14ac:dyDescent="0.2">
      <c r="B97" s="15">
        <f t="shared" si="15"/>
        <v>86</v>
      </c>
      <c r="C97" s="16">
        <f t="shared" si="16"/>
        <v>8</v>
      </c>
      <c r="D97" s="17">
        <f t="shared" si="17"/>
        <v>0</v>
      </c>
      <c r="E97" s="17">
        <f t="shared" si="9"/>
        <v>0</v>
      </c>
      <c r="F97" s="17">
        <f t="shared" si="12"/>
        <v>0</v>
      </c>
      <c r="G97" s="17">
        <f t="shared" si="13"/>
        <v>0</v>
      </c>
      <c r="H97" s="17">
        <f>IF(B97="","",SUM($F$12:F97))</f>
        <v>0</v>
      </c>
      <c r="I97" s="17">
        <f>IF(B97="","",SUM($G$12:G97))</f>
        <v>0</v>
      </c>
      <c r="J97" s="17">
        <f t="shared" si="10"/>
        <v>0</v>
      </c>
      <c r="K97" s="18">
        <f t="shared" si="11"/>
        <v>0</v>
      </c>
      <c r="L97" s="27" t="str">
        <f t="shared" si="14"/>
        <v/>
      </c>
    </row>
    <row r="98" spans="2:12" x14ac:dyDescent="0.2">
      <c r="B98" s="15">
        <f t="shared" si="15"/>
        <v>87</v>
      </c>
      <c r="C98" s="16">
        <f t="shared" si="16"/>
        <v>8</v>
      </c>
      <c r="D98" s="17">
        <f t="shared" si="17"/>
        <v>0</v>
      </c>
      <c r="E98" s="17">
        <f t="shared" si="9"/>
        <v>0</v>
      </c>
      <c r="F98" s="17">
        <f t="shared" si="12"/>
        <v>0</v>
      </c>
      <c r="G98" s="17">
        <f t="shared" si="13"/>
        <v>0</v>
      </c>
      <c r="H98" s="17">
        <f>IF(B98="","",SUM($F$12:F98))</f>
        <v>0</v>
      </c>
      <c r="I98" s="17">
        <f>IF(B98="","",SUM($G$12:G98))</f>
        <v>0</v>
      </c>
      <c r="J98" s="17">
        <f t="shared" si="10"/>
        <v>0</v>
      </c>
      <c r="K98" s="18">
        <f t="shared" si="11"/>
        <v>0</v>
      </c>
      <c r="L98" s="27" t="str">
        <f t="shared" si="14"/>
        <v/>
      </c>
    </row>
    <row r="99" spans="2:12" x14ac:dyDescent="0.2">
      <c r="B99" s="15">
        <f t="shared" si="15"/>
        <v>88</v>
      </c>
      <c r="C99" s="16">
        <f t="shared" si="16"/>
        <v>8</v>
      </c>
      <c r="D99" s="17">
        <f t="shared" si="17"/>
        <v>0</v>
      </c>
      <c r="E99" s="17">
        <f t="shared" si="9"/>
        <v>0</v>
      </c>
      <c r="F99" s="17">
        <f t="shared" si="12"/>
        <v>0</v>
      </c>
      <c r="G99" s="17">
        <f t="shared" si="13"/>
        <v>0</v>
      </c>
      <c r="H99" s="17">
        <f>IF(B99="","",SUM($F$12:F99))</f>
        <v>0</v>
      </c>
      <c r="I99" s="17">
        <f>IF(B99="","",SUM($G$12:G99))</f>
        <v>0</v>
      </c>
      <c r="J99" s="17">
        <f t="shared" si="10"/>
        <v>0</v>
      </c>
      <c r="K99" s="18">
        <f t="shared" si="11"/>
        <v>0</v>
      </c>
      <c r="L99" s="27" t="str">
        <f t="shared" si="14"/>
        <v/>
      </c>
    </row>
    <row r="100" spans="2:12" x14ac:dyDescent="0.2">
      <c r="B100" s="15">
        <f t="shared" si="15"/>
        <v>89</v>
      </c>
      <c r="C100" s="16">
        <f t="shared" si="16"/>
        <v>8</v>
      </c>
      <c r="D100" s="17">
        <f t="shared" si="17"/>
        <v>0</v>
      </c>
      <c r="E100" s="17">
        <f t="shared" si="9"/>
        <v>0</v>
      </c>
      <c r="F100" s="17">
        <f t="shared" si="12"/>
        <v>0</v>
      </c>
      <c r="G100" s="17">
        <f t="shared" si="13"/>
        <v>0</v>
      </c>
      <c r="H100" s="17">
        <f>IF(B100="","",SUM($F$12:F100))</f>
        <v>0</v>
      </c>
      <c r="I100" s="17">
        <f>IF(B100="","",SUM($G$12:G100))</f>
        <v>0</v>
      </c>
      <c r="J100" s="17">
        <f t="shared" si="10"/>
        <v>0</v>
      </c>
      <c r="K100" s="18">
        <f t="shared" si="11"/>
        <v>0</v>
      </c>
      <c r="L100" s="27" t="str">
        <f t="shared" si="14"/>
        <v/>
      </c>
    </row>
    <row r="101" spans="2:12" x14ac:dyDescent="0.2">
      <c r="B101" s="15">
        <f t="shared" si="15"/>
        <v>90</v>
      </c>
      <c r="C101" s="16">
        <f t="shared" si="16"/>
        <v>8</v>
      </c>
      <c r="D101" s="17">
        <f t="shared" si="17"/>
        <v>0</v>
      </c>
      <c r="E101" s="17">
        <f t="shared" si="9"/>
        <v>0</v>
      </c>
      <c r="F101" s="17">
        <f t="shared" si="12"/>
        <v>0</v>
      </c>
      <c r="G101" s="17">
        <f t="shared" si="13"/>
        <v>0</v>
      </c>
      <c r="H101" s="17">
        <f>IF(B101="","",SUM($F$12:F101))</f>
        <v>0</v>
      </c>
      <c r="I101" s="17">
        <f>IF(B101="","",SUM($G$12:G101))</f>
        <v>0</v>
      </c>
      <c r="J101" s="17">
        <f t="shared" si="10"/>
        <v>0</v>
      </c>
      <c r="K101" s="18">
        <f t="shared" si="11"/>
        <v>0</v>
      </c>
      <c r="L101" s="27" t="str">
        <f t="shared" si="14"/>
        <v/>
      </c>
    </row>
    <row r="102" spans="2:12" x14ac:dyDescent="0.2">
      <c r="B102" s="15">
        <f t="shared" si="15"/>
        <v>91</v>
      </c>
      <c r="C102" s="16">
        <f t="shared" si="16"/>
        <v>8</v>
      </c>
      <c r="D102" s="17">
        <f t="shared" si="17"/>
        <v>0</v>
      </c>
      <c r="E102" s="17">
        <f t="shared" si="9"/>
        <v>0</v>
      </c>
      <c r="F102" s="17">
        <f t="shared" si="12"/>
        <v>0</v>
      </c>
      <c r="G102" s="17">
        <f t="shared" si="13"/>
        <v>0</v>
      </c>
      <c r="H102" s="17">
        <f>IF(B102="","",SUM($F$12:F102))</f>
        <v>0</v>
      </c>
      <c r="I102" s="17">
        <f>IF(B102="","",SUM($G$12:G102))</f>
        <v>0</v>
      </c>
      <c r="J102" s="17">
        <f t="shared" si="10"/>
        <v>0</v>
      </c>
      <c r="K102" s="18">
        <f t="shared" si="11"/>
        <v>0</v>
      </c>
      <c r="L102" s="27" t="str">
        <f t="shared" si="14"/>
        <v/>
      </c>
    </row>
    <row r="103" spans="2:12" x14ac:dyDescent="0.2">
      <c r="B103" s="15">
        <f t="shared" si="15"/>
        <v>92</v>
      </c>
      <c r="C103" s="16">
        <f t="shared" si="16"/>
        <v>8</v>
      </c>
      <c r="D103" s="17">
        <f t="shared" si="17"/>
        <v>0</v>
      </c>
      <c r="E103" s="17">
        <f t="shared" si="9"/>
        <v>0</v>
      </c>
      <c r="F103" s="17">
        <f t="shared" si="12"/>
        <v>0</v>
      </c>
      <c r="G103" s="17">
        <f t="shared" si="13"/>
        <v>0</v>
      </c>
      <c r="H103" s="17">
        <f>IF(B103="","",SUM($F$12:F103))</f>
        <v>0</v>
      </c>
      <c r="I103" s="17">
        <f>IF(B103="","",SUM($G$12:G103))</f>
        <v>0</v>
      </c>
      <c r="J103" s="17">
        <f t="shared" si="10"/>
        <v>0</v>
      </c>
      <c r="K103" s="18">
        <f t="shared" si="11"/>
        <v>0</v>
      </c>
      <c r="L103" s="27" t="str">
        <f t="shared" si="14"/>
        <v/>
      </c>
    </row>
    <row r="104" spans="2:12" x14ac:dyDescent="0.2">
      <c r="B104" s="15">
        <f t="shared" si="15"/>
        <v>93</v>
      </c>
      <c r="C104" s="16">
        <f t="shared" si="16"/>
        <v>8</v>
      </c>
      <c r="D104" s="17">
        <f t="shared" si="17"/>
        <v>0</v>
      </c>
      <c r="E104" s="17">
        <f t="shared" si="9"/>
        <v>0</v>
      </c>
      <c r="F104" s="17">
        <f t="shared" si="12"/>
        <v>0</v>
      </c>
      <c r="G104" s="17">
        <f t="shared" si="13"/>
        <v>0</v>
      </c>
      <c r="H104" s="17">
        <f>IF(B104="","",SUM($F$12:F104))</f>
        <v>0</v>
      </c>
      <c r="I104" s="17">
        <f>IF(B104="","",SUM($G$12:G104))</f>
        <v>0</v>
      </c>
      <c r="J104" s="17">
        <f t="shared" si="10"/>
        <v>0</v>
      </c>
      <c r="K104" s="18">
        <f t="shared" si="11"/>
        <v>0</v>
      </c>
      <c r="L104" s="27" t="str">
        <f t="shared" si="14"/>
        <v/>
      </c>
    </row>
    <row r="105" spans="2:12" x14ac:dyDescent="0.2">
      <c r="B105" s="15">
        <f t="shared" si="15"/>
        <v>94</v>
      </c>
      <c r="C105" s="16">
        <f t="shared" si="16"/>
        <v>8</v>
      </c>
      <c r="D105" s="17">
        <f t="shared" si="17"/>
        <v>0</v>
      </c>
      <c r="E105" s="17">
        <f t="shared" si="9"/>
        <v>0</v>
      </c>
      <c r="F105" s="17">
        <f t="shared" si="12"/>
        <v>0</v>
      </c>
      <c r="G105" s="17">
        <f t="shared" si="13"/>
        <v>0</v>
      </c>
      <c r="H105" s="17">
        <f>IF(B105="","",SUM($F$12:F105))</f>
        <v>0</v>
      </c>
      <c r="I105" s="17">
        <f>IF(B105="","",SUM($G$12:G105))</f>
        <v>0</v>
      </c>
      <c r="J105" s="17">
        <f t="shared" si="10"/>
        <v>0</v>
      </c>
      <c r="K105" s="18">
        <f t="shared" si="11"/>
        <v>0</v>
      </c>
      <c r="L105" s="27" t="str">
        <f t="shared" si="14"/>
        <v/>
      </c>
    </row>
    <row r="106" spans="2:12" x14ac:dyDescent="0.2">
      <c r="B106" s="15">
        <f t="shared" si="15"/>
        <v>95</v>
      </c>
      <c r="C106" s="16">
        <f t="shared" si="16"/>
        <v>8</v>
      </c>
      <c r="D106" s="17">
        <f t="shared" si="17"/>
        <v>0</v>
      </c>
      <c r="E106" s="17">
        <f t="shared" si="9"/>
        <v>0</v>
      </c>
      <c r="F106" s="17">
        <f t="shared" si="12"/>
        <v>0</v>
      </c>
      <c r="G106" s="17">
        <f t="shared" si="13"/>
        <v>0</v>
      </c>
      <c r="H106" s="17">
        <f>IF(B106="","",SUM($F$12:F106))</f>
        <v>0</v>
      </c>
      <c r="I106" s="17">
        <f>IF(B106="","",SUM($G$12:G106))</f>
        <v>0</v>
      </c>
      <c r="J106" s="17">
        <f t="shared" si="10"/>
        <v>0</v>
      </c>
      <c r="K106" s="18">
        <f t="shared" si="11"/>
        <v>0</v>
      </c>
      <c r="L106" s="27" t="str">
        <f t="shared" si="14"/>
        <v/>
      </c>
    </row>
    <row r="107" spans="2:12" x14ac:dyDescent="0.2">
      <c r="B107" s="15">
        <f t="shared" si="15"/>
        <v>96</v>
      </c>
      <c r="C107" s="16">
        <f t="shared" si="16"/>
        <v>8</v>
      </c>
      <c r="D107" s="17">
        <f t="shared" si="17"/>
        <v>0</v>
      </c>
      <c r="E107" s="17">
        <f t="shared" si="9"/>
        <v>0</v>
      </c>
      <c r="F107" s="17">
        <f t="shared" si="12"/>
        <v>0</v>
      </c>
      <c r="G107" s="17">
        <f t="shared" si="13"/>
        <v>0</v>
      </c>
      <c r="H107" s="17">
        <f>IF(B107="","",SUM($F$12:F107))</f>
        <v>0</v>
      </c>
      <c r="I107" s="17">
        <f>IF(B107="","",SUM($G$12:G107))</f>
        <v>0</v>
      </c>
      <c r="J107" s="17">
        <f t="shared" si="10"/>
        <v>0</v>
      </c>
      <c r="K107" s="18">
        <f t="shared" si="11"/>
        <v>0</v>
      </c>
      <c r="L107" s="27" t="str">
        <f t="shared" si="14"/>
        <v/>
      </c>
    </row>
    <row r="108" spans="2:12" x14ac:dyDescent="0.2">
      <c r="B108" s="15">
        <f t="shared" si="15"/>
        <v>97</v>
      </c>
      <c r="C108" s="16">
        <f t="shared" si="16"/>
        <v>9</v>
      </c>
      <c r="D108" s="17">
        <f t="shared" si="17"/>
        <v>0</v>
      </c>
      <c r="E108" s="17">
        <f t="shared" si="9"/>
        <v>0</v>
      </c>
      <c r="F108" s="17">
        <f t="shared" si="12"/>
        <v>0</v>
      </c>
      <c r="G108" s="17">
        <f t="shared" si="13"/>
        <v>0</v>
      </c>
      <c r="H108" s="17">
        <f>IF(B108="","",SUM($F$12:F108))</f>
        <v>0</v>
      </c>
      <c r="I108" s="17">
        <f>IF(B108="","",SUM($G$12:G108))</f>
        <v>0</v>
      </c>
      <c r="J108" s="17">
        <f t="shared" si="10"/>
        <v>0</v>
      </c>
      <c r="K108" s="18">
        <f t="shared" si="11"/>
        <v>0</v>
      </c>
      <c r="L108" s="27" t="str">
        <f t="shared" si="14"/>
        <v/>
      </c>
    </row>
    <row r="109" spans="2:12" x14ac:dyDescent="0.2">
      <c r="B109" s="15">
        <f t="shared" si="15"/>
        <v>98</v>
      </c>
      <c r="C109" s="16">
        <f t="shared" si="16"/>
        <v>9</v>
      </c>
      <c r="D109" s="17">
        <f t="shared" si="17"/>
        <v>0</v>
      </c>
      <c r="E109" s="17">
        <f t="shared" si="9"/>
        <v>0</v>
      </c>
      <c r="F109" s="17">
        <f t="shared" si="12"/>
        <v>0</v>
      </c>
      <c r="G109" s="17">
        <f t="shared" si="13"/>
        <v>0</v>
      </c>
      <c r="H109" s="17">
        <f>IF(B109="","",SUM($F$12:F109))</f>
        <v>0</v>
      </c>
      <c r="I109" s="17">
        <f>IF(B109="","",SUM($G$12:G109))</f>
        <v>0</v>
      </c>
      <c r="J109" s="17">
        <f t="shared" si="10"/>
        <v>0</v>
      </c>
      <c r="K109" s="18">
        <f t="shared" si="11"/>
        <v>0</v>
      </c>
      <c r="L109" s="27" t="str">
        <f t="shared" si="14"/>
        <v/>
      </c>
    </row>
    <row r="110" spans="2:12" x14ac:dyDescent="0.2">
      <c r="B110" s="15">
        <f t="shared" si="15"/>
        <v>99</v>
      </c>
      <c r="C110" s="16">
        <f t="shared" si="16"/>
        <v>9</v>
      </c>
      <c r="D110" s="17">
        <f t="shared" si="17"/>
        <v>0</v>
      </c>
      <c r="E110" s="17">
        <f t="shared" si="9"/>
        <v>0</v>
      </c>
      <c r="F110" s="17">
        <f t="shared" si="12"/>
        <v>0</v>
      </c>
      <c r="G110" s="17">
        <f t="shared" si="13"/>
        <v>0</v>
      </c>
      <c r="H110" s="17">
        <f>IF(B110="","",SUM($F$12:F110))</f>
        <v>0</v>
      </c>
      <c r="I110" s="17">
        <f>IF(B110="","",SUM($G$12:G110))</f>
        <v>0</v>
      </c>
      <c r="J110" s="17">
        <f t="shared" si="10"/>
        <v>0</v>
      </c>
      <c r="K110" s="18">
        <f t="shared" si="11"/>
        <v>0</v>
      </c>
      <c r="L110" s="27" t="str">
        <f t="shared" si="14"/>
        <v/>
      </c>
    </row>
    <row r="111" spans="2:12" x14ac:dyDescent="0.2">
      <c r="B111" s="15">
        <f t="shared" si="15"/>
        <v>100</v>
      </c>
      <c r="C111" s="16">
        <f t="shared" si="16"/>
        <v>9</v>
      </c>
      <c r="D111" s="17">
        <f t="shared" si="17"/>
        <v>0</v>
      </c>
      <c r="E111" s="17">
        <f t="shared" si="9"/>
        <v>0</v>
      </c>
      <c r="F111" s="17">
        <f t="shared" si="12"/>
        <v>0</v>
      </c>
      <c r="G111" s="17">
        <f t="shared" si="13"/>
        <v>0</v>
      </c>
      <c r="H111" s="17">
        <f>IF(B111="","",SUM($F$12:F111))</f>
        <v>0</v>
      </c>
      <c r="I111" s="17">
        <f>IF(B111="","",SUM($G$12:G111))</f>
        <v>0</v>
      </c>
      <c r="J111" s="17">
        <f t="shared" si="10"/>
        <v>0</v>
      </c>
      <c r="K111" s="18">
        <f t="shared" si="11"/>
        <v>0</v>
      </c>
      <c r="L111" s="27" t="str">
        <f t="shared" si="14"/>
        <v/>
      </c>
    </row>
    <row r="112" spans="2:12" x14ac:dyDescent="0.2">
      <c r="B112" s="15">
        <f t="shared" si="15"/>
        <v>101</v>
      </c>
      <c r="C112" s="16">
        <f t="shared" si="16"/>
        <v>9</v>
      </c>
      <c r="D112" s="17">
        <f t="shared" si="17"/>
        <v>0</v>
      </c>
      <c r="E112" s="17">
        <f t="shared" si="9"/>
        <v>0</v>
      </c>
      <c r="F112" s="17">
        <f t="shared" si="12"/>
        <v>0</v>
      </c>
      <c r="G112" s="17">
        <f t="shared" si="13"/>
        <v>0</v>
      </c>
      <c r="H112" s="17">
        <f>IF(B112="","",SUM($F$12:F112))</f>
        <v>0</v>
      </c>
      <c r="I112" s="17">
        <f>IF(B112="","",SUM($G$12:G112))</f>
        <v>0</v>
      </c>
      <c r="J112" s="17">
        <f t="shared" si="10"/>
        <v>0</v>
      </c>
      <c r="K112" s="18">
        <f t="shared" si="11"/>
        <v>0</v>
      </c>
      <c r="L112" s="27" t="str">
        <f t="shared" si="14"/>
        <v/>
      </c>
    </row>
    <row r="113" spans="2:12" x14ac:dyDescent="0.2">
      <c r="B113" s="15">
        <f t="shared" si="15"/>
        <v>102</v>
      </c>
      <c r="C113" s="16">
        <f t="shared" si="16"/>
        <v>9</v>
      </c>
      <c r="D113" s="17">
        <f t="shared" si="17"/>
        <v>0</v>
      </c>
      <c r="E113" s="17">
        <f t="shared" si="9"/>
        <v>0</v>
      </c>
      <c r="F113" s="17">
        <f t="shared" si="12"/>
        <v>0</v>
      </c>
      <c r="G113" s="17">
        <f t="shared" si="13"/>
        <v>0</v>
      </c>
      <c r="H113" s="17">
        <f>IF(B113="","",SUM($F$12:F113))</f>
        <v>0</v>
      </c>
      <c r="I113" s="17">
        <f>IF(B113="","",SUM($G$12:G113))</f>
        <v>0</v>
      </c>
      <c r="J113" s="17">
        <f t="shared" si="10"/>
        <v>0</v>
      </c>
      <c r="K113" s="18">
        <f t="shared" si="11"/>
        <v>0</v>
      </c>
      <c r="L113" s="27" t="str">
        <f t="shared" si="14"/>
        <v/>
      </c>
    </row>
    <row r="114" spans="2:12" x14ac:dyDescent="0.2">
      <c r="B114" s="15">
        <f t="shared" si="15"/>
        <v>103</v>
      </c>
      <c r="C114" s="16">
        <f t="shared" si="16"/>
        <v>9</v>
      </c>
      <c r="D114" s="17">
        <f t="shared" si="17"/>
        <v>0</v>
      </c>
      <c r="E114" s="17">
        <f t="shared" si="9"/>
        <v>0</v>
      </c>
      <c r="F114" s="17">
        <f t="shared" si="12"/>
        <v>0</v>
      </c>
      <c r="G114" s="17">
        <f t="shared" si="13"/>
        <v>0</v>
      </c>
      <c r="H114" s="17">
        <f>IF(B114="","",SUM($F$12:F114))</f>
        <v>0</v>
      </c>
      <c r="I114" s="17">
        <f>IF(B114="","",SUM($G$12:G114))</f>
        <v>0</v>
      </c>
      <c r="J114" s="17">
        <f t="shared" si="10"/>
        <v>0</v>
      </c>
      <c r="K114" s="18">
        <f t="shared" si="11"/>
        <v>0</v>
      </c>
      <c r="L114" s="27" t="str">
        <f t="shared" si="14"/>
        <v/>
      </c>
    </row>
    <row r="115" spans="2:12" x14ac:dyDescent="0.2">
      <c r="B115" s="15">
        <f t="shared" si="15"/>
        <v>104</v>
      </c>
      <c r="C115" s="16">
        <f t="shared" si="16"/>
        <v>9</v>
      </c>
      <c r="D115" s="17">
        <f t="shared" si="17"/>
        <v>0</v>
      </c>
      <c r="E115" s="17">
        <f t="shared" si="9"/>
        <v>0</v>
      </c>
      <c r="F115" s="17">
        <f t="shared" si="12"/>
        <v>0</v>
      </c>
      <c r="G115" s="17">
        <f t="shared" si="13"/>
        <v>0</v>
      </c>
      <c r="H115" s="17">
        <f>IF(B115="","",SUM($F$12:F115))</f>
        <v>0</v>
      </c>
      <c r="I115" s="17">
        <f>IF(B115="","",SUM($G$12:G115))</f>
        <v>0</v>
      </c>
      <c r="J115" s="17">
        <f t="shared" si="10"/>
        <v>0</v>
      </c>
      <c r="K115" s="18">
        <f t="shared" si="11"/>
        <v>0</v>
      </c>
      <c r="L115" s="27" t="str">
        <f t="shared" si="14"/>
        <v/>
      </c>
    </row>
    <row r="116" spans="2:12" x14ac:dyDescent="0.2">
      <c r="B116" s="15">
        <f t="shared" si="15"/>
        <v>105</v>
      </c>
      <c r="C116" s="16">
        <f t="shared" si="16"/>
        <v>9</v>
      </c>
      <c r="D116" s="17">
        <f t="shared" si="17"/>
        <v>0</v>
      </c>
      <c r="E116" s="17">
        <f t="shared" si="9"/>
        <v>0</v>
      </c>
      <c r="F116" s="17">
        <f t="shared" si="12"/>
        <v>0</v>
      </c>
      <c r="G116" s="17">
        <f t="shared" si="13"/>
        <v>0</v>
      </c>
      <c r="H116" s="17">
        <f>IF(B116="","",SUM($F$12:F116))</f>
        <v>0</v>
      </c>
      <c r="I116" s="17">
        <f>IF(B116="","",SUM($G$12:G116))</f>
        <v>0</v>
      </c>
      <c r="J116" s="17">
        <f t="shared" si="10"/>
        <v>0</v>
      </c>
      <c r="K116" s="18">
        <f t="shared" si="11"/>
        <v>0</v>
      </c>
      <c r="L116" s="27" t="str">
        <f t="shared" si="14"/>
        <v/>
      </c>
    </row>
    <row r="117" spans="2:12" x14ac:dyDescent="0.2">
      <c r="B117" s="15">
        <f t="shared" si="15"/>
        <v>106</v>
      </c>
      <c r="C117" s="16">
        <f t="shared" si="16"/>
        <v>9</v>
      </c>
      <c r="D117" s="17">
        <f t="shared" si="17"/>
        <v>0</v>
      </c>
      <c r="E117" s="17">
        <f t="shared" si="9"/>
        <v>0</v>
      </c>
      <c r="F117" s="17">
        <f t="shared" si="12"/>
        <v>0</v>
      </c>
      <c r="G117" s="17">
        <f t="shared" si="13"/>
        <v>0</v>
      </c>
      <c r="H117" s="17">
        <f>IF(B117="","",SUM($F$12:F117))</f>
        <v>0</v>
      </c>
      <c r="I117" s="17">
        <f>IF(B117="","",SUM($G$12:G117))</f>
        <v>0</v>
      </c>
      <c r="J117" s="17">
        <f t="shared" si="10"/>
        <v>0</v>
      </c>
      <c r="K117" s="18">
        <f t="shared" si="11"/>
        <v>0</v>
      </c>
      <c r="L117" s="27" t="str">
        <f t="shared" si="14"/>
        <v/>
      </c>
    </row>
    <row r="118" spans="2:12" x14ac:dyDescent="0.2">
      <c r="B118" s="15">
        <f t="shared" si="15"/>
        <v>107</v>
      </c>
      <c r="C118" s="16">
        <f t="shared" si="16"/>
        <v>9</v>
      </c>
      <c r="D118" s="17">
        <f t="shared" si="17"/>
        <v>0</v>
      </c>
      <c r="E118" s="17">
        <f t="shared" si="9"/>
        <v>0</v>
      </c>
      <c r="F118" s="17">
        <f t="shared" si="12"/>
        <v>0</v>
      </c>
      <c r="G118" s="17">
        <f t="shared" si="13"/>
        <v>0</v>
      </c>
      <c r="H118" s="17">
        <f>IF(B118="","",SUM($F$12:F118))</f>
        <v>0</v>
      </c>
      <c r="I118" s="17">
        <f>IF(B118="","",SUM($G$12:G118))</f>
        <v>0</v>
      </c>
      <c r="J118" s="17">
        <f t="shared" si="10"/>
        <v>0</v>
      </c>
      <c r="K118" s="18">
        <f t="shared" si="11"/>
        <v>0</v>
      </c>
      <c r="L118" s="27" t="str">
        <f t="shared" si="14"/>
        <v/>
      </c>
    </row>
    <row r="119" spans="2:12" x14ac:dyDescent="0.2">
      <c r="B119" s="15">
        <f t="shared" si="15"/>
        <v>108</v>
      </c>
      <c r="C119" s="16">
        <f t="shared" si="16"/>
        <v>9</v>
      </c>
      <c r="D119" s="17">
        <f t="shared" si="17"/>
        <v>0</v>
      </c>
      <c r="E119" s="17">
        <f t="shared" si="9"/>
        <v>0</v>
      </c>
      <c r="F119" s="17">
        <f t="shared" si="12"/>
        <v>0</v>
      </c>
      <c r="G119" s="17">
        <f t="shared" si="13"/>
        <v>0</v>
      </c>
      <c r="H119" s="17">
        <f>IF(B119="","",SUM($F$12:F119))</f>
        <v>0</v>
      </c>
      <c r="I119" s="17">
        <f>IF(B119="","",SUM($G$12:G119))</f>
        <v>0</v>
      </c>
      <c r="J119" s="17">
        <f t="shared" si="10"/>
        <v>0</v>
      </c>
      <c r="K119" s="18">
        <f t="shared" si="11"/>
        <v>0</v>
      </c>
      <c r="L119" s="27" t="str">
        <f t="shared" si="14"/>
        <v/>
      </c>
    </row>
    <row r="120" spans="2:12" x14ac:dyDescent="0.2">
      <c r="B120" s="15">
        <f t="shared" si="15"/>
        <v>109</v>
      </c>
      <c r="C120" s="16">
        <f t="shared" si="16"/>
        <v>10</v>
      </c>
      <c r="D120" s="17">
        <f t="shared" si="17"/>
        <v>0</v>
      </c>
      <c r="E120" s="17">
        <f t="shared" si="9"/>
        <v>0</v>
      </c>
      <c r="F120" s="17">
        <f t="shared" si="12"/>
        <v>0</v>
      </c>
      <c r="G120" s="17">
        <f t="shared" si="13"/>
        <v>0</v>
      </c>
      <c r="H120" s="17">
        <f>IF(B120="","",SUM($F$12:F120))</f>
        <v>0</v>
      </c>
      <c r="I120" s="17">
        <f>IF(B120="","",SUM($G$12:G120))</f>
        <v>0</v>
      </c>
      <c r="J120" s="17">
        <f t="shared" si="10"/>
        <v>0</v>
      </c>
      <c r="K120" s="18">
        <f t="shared" si="11"/>
        <v>0</v>
      </c>
      <c r="L120" s="27" t="str">
        <f t="shared" si="14"/>
        <v/>
      </c>
    </row>
    <row r="121" spans="2:12" x14ac:dyDescent="0.2">
      <c r="B121" s="15">
        <f t="shared" si="15"/>
        <v>110</v>
      </c>
      <c r="C121" s="16">
        <f t="shared" si="16"/>
        <v>10</v>
      </c>
      <c r="D121" s="17">
        <f t="shared" si="17"/>
        <v>0</v>
      </c>
      <c r="E121" s="17">
        <f t="shared" si="9"/>
        <v>0</v>
      </c>
      <c r="F121" s="17">
        <f t="shared" si="12"/>
        <v>0</v>
      </c>
      <c r="G121" s="17">
        <f t="shared" si="13"/>
        <v>0</v>
      </c>
      <c r="H121" s="17">
        <f>IF(B121="","",SUM($F$12:F121))</f>
        <v>0</v>
      </c>
      <c r="I121" s="17">
        <f>IF(B121="","",SUM($G$12:G121))</f>
        <v>0</v>
      </c>
      <c r="J121" s="17">
        <f t="shared" si="10"/>
        <v>0</v>
      </c>
      <c r="K121" s="18">
        <f t="shared" si="11"/>
        <v>0</v>
      </c>
      <c r="L121" s="27" t="str">
        <f t="shared" si="14"/>
        <v/>
      </c>
    </row>
    <row r="122" spans="2:12" x14ac:dyDescent="0.2">
      <c r="B122" s="15">
        <f t="shared" si="15"/>
        <v>111</v>
      </c>
      <c r="C122" s="16">
        <f t="shared" si="16"/>
        <v>10</v>
      </c>
      <c r="D122" s="17">
        <f t="shared" si="17"/>
        <v>0</v>
      </c>
      <c r="E122" s="17">
        <f t="shared" si="9"/>
        <v>0</v>
      </c>
      <c r="F122" s="17">
        <f t="shared" si="12"/>
        <v>0</v>
      </c>
      <c r="G122" s="17">
        <f t="shared" si="13"/>
        <v>0</v>
      </c>
      <c r="H122" s="17">
        <f>IF(B122="","",SUM($F$12:F122))</f>
        <v>0</v>
      </c>
      <c r="I122" s="17">
        <f>IF(B122="","",SUM($G$12:G122))</f>
        <v>0</v>
      </c>
      <c r="J122" s="17">
        <f t="shared" si="10"/>
        <v>0</v>
      </c>
      <c r="K122" s="18">
        <f t="shared" si="11"/>
        <v>0</v>
      </c>
      <c r="L122" s="27" t="str">
        <f t="shared" si="14"/>
        <v/>
      </c>
    </row>
    <row r="123" spans="2:12" x14ac:dyDescent="0.2">
      <c r="B123" s="15">
        <f t="shared" si="15"/>
        <v>112</v>
      </c>
      <c r="C123" s="16">
        <f t="shared" si="16"/>
        <v>10</v>
      </c>
      <c r="D123" s="17">
        <f t="shared" si="17"/>
        <v>0</v>
      </c>
      <c r="E123" s="17">
        <f t="shared" si="9"/>
        <v>0</v>
      </c>
      <c r="F123" s="17">
        <f t="shared" si="12"/>
        <v>0</v>
      </c>
      <c r="G123" s="17">
        <f t="shared" si="13"/>
        <v>0</v>
      </c>
      <c r="H123" s="17">
        <f>IF(B123="","",SUM($F$12:F123))</f>
        <v>0</v>
      </c>
      <c r="I123" s="17">
        <f>IF(B123="","",SUM($G$12:G123))</f>
        <v>0</v>
      </c>
      <c r="J123" s="17">
        <f t="shared" si="10"/>
        <v>0</v>
      </c>
      <c r="K123" s="18">
        <f t="shared" si="11"/>
        <v>0</v>
      </c>
      <c r="L123" s="27" t="str">
        <f t="shared" si="14"/>
        <v/>
      </c>
    </row>
    <row r="124" spans="2:12" x14ac:dyDescent="0.2">
      <c r="B124" s="15">
        <f t="shared" si="15"/>
        <v>113</v>
      </c>
      <c r="C124" s="16">
        <f t="shared" si="16"/>
        <v>10</v>
      </c>
      <c r="D124" s="17">
        <f t="shared" si="17"/>
        <v>0</v>
      </c>
      <c r="E124" s="17">
        <f t="shared" si="9"/>
        <v>0</v>
      </c>
      <c r="F124" s="17">
        <f t="shared" si="12"/>
        <v>0</v>
      </c>
      <c r="G124" s="17">
        <f t="shared" si="13"/>
        <v>0</v>
      </c>
      <c r="H124" s="17">
        <f>IF(B124="","",SUM($F$12:F124))</f>
        <v>0</v>
      </c>
      <c r="I124" s="17">
        <f>IF(B124="","",SUM($G$12:G124))</f>
        <v>0</v>
      </c>
      <c r="J124" s="17">
        <f t="shared" si="10"/>
        <v>0</v>
      </c>
      <c r="K124" s="18">
        <f t="shared" si="11"/>
        <v>0</v>
      </c>
      <c r="L124" s="27" t="str">
        <f t="shared" si="14"/>
        <v/>
      </c>
    </row>
    <row r="125" spans="2:12" x14ac:dyDescent="0.2">
      <c r="B125" s="15">
        <f t="shared" si="15"/>
        <v>114</v>
      </c>
      <c r="C125" s="16">
        <f t="shared" si="16"/>
        <v>10</v>
      </c>
      <c r="D125" s="17">
        <f t="shared" si="17"/>
        <v>0</v>
      </c>
      <c r="E125" s="17">
        <f t="shared" si="9"/>
        <v>0</v>
      </c>
      <c r="F125" s="17">
        <f t="shared" si="12"/>
        <v>0</v>
      </c>
      <c r="G125" s="17">
        <f t="shared" si="13"/>
        <v>0</v>
      </c>
      <c r="H125" s="17">
        <f>IF(B125="","",SUM($F$12:F125))</f>
        <v>0</v>
      </c>
      <c r="I125" s="17">
        <f>IF(B125="","",SUM($G$12:G125))</f>
        <v>0</v>
      </c>
      <c r="J125" s="17">
        <f t="shared" si="10"/>
        <v>0</v>
      </c>
      <c r="K125" s="18">
        <f t="shared" si="11"/>
        <v>0</v>
      </c>
      <c r="L125" s="27" t="str">
        <f t="shared" si="14"/>
        <v/>
      </c>
    </row>
    <row r="126" spans="2:12" x14ac:dyDescent="0.2">
      <c r="B126" s="15">
        <f t="shared" si="15"/>
        <v>115</v>
      </c>
      <c r="C126" s="16">
        <f t="shared" si="16"/>
        <v>10</v>
      </c>
      <c r="D126" s="17">
        <f t="shared" si="17"/>
        <v>0</v>
      </c>
      <c r="E126" s="17">
        <f t="shared" si="9"/>
        <v>0</v>
      </c>
      <c r="F126" s="17">
        <f t="shared" si="12"/>
        <v>0</v>
      </c>
      <c r="G126" s="17">
        <f t="shared" si="13"/>
        <v>0</v>
      </c>
      <c r="H126" s="17">
        <f>IF(B126="","",SUM($F$12:F126))</f>
        <v>0</v>
      </c>
      <c r="I126" s="17">
        <f>IF(B126="","",SUM($G$12:G126))</f>
        <v>0</v>
      </c>
      <c r="J126" s="17">
        <f t="shared" si="10"/>
        <v>0</v>
      </c>
      <c r="K126" s="18">
        <f t="shared" si="11"/>
        <v>0</v>
      </c>
      <c r="L126" s="27" t="str">
        <f t="shared" si="14"/>
        <v/>
      </c>
    </row>
    <row r="127" spans="2:12" x14ac:dyDescent="0.2">
      <c r="B127" s="15">
        <f t="shared" si="15"/>
        <v>116</v>
      </c>
      <c r="C127" s="16">
        <f t="shared" si="16"/>
        <v>10</v>
      </c>
      <c r="D127" s="17">
        <f t="shared" si="17"/>
        <v>0</v>
      </c>
      <c r="E127" s="17">
        <f t="shared" si="9"/>
        <v>0</v>
      </c>
      <c r="F127" s="17">
        <f t="shared" si="12"/>
        <v>0</v>
      </c>
      <c r="G127" s="17">
        <f t="shared" si="13"/>
        <v>0</v>
      </c>
      <c r="H127" s="17">
        <f>IF(B127="","",SUM($F$12:F127))</f>
        <v>0</v>
      </c>
      <c r="I127" s="17">
        <f>IF(B127="","",SUM($G$12:G127))</f>
        <v>0</v>
      </c>
      <c r="J127" s="17">
        <f t="shared" si="10"/>
        <v>0</v>
      </c>
      <c r="K127" s="18">
        <f t="shared" si="11"/>
        <v>0</v>
      </c>
      <c r="L127" s="27" t="str">
        <f t="shared" si="14"/>
        <v/>
      </c>
    </row>
    <row r="128" spans="2:12" x14ac:dyDescent="0.2">
      <c r="B128" s="15">
        <f t="shared" si="15"/>
        <v>117</v>
      </c>
      <c r="C128" s="16">
        <f t="shared" si="16"/>
        <v>10</v>
      </c>
      <c r="D128" s="17">
        <f t="shared" si="17"/>
        <v>0</v>
      </c>
      <c r="E128" s="17">
        <f t="shared" si="9"/>
        <v>0</v>
      </c>
      <c r="F128" s="17">
        <f t="shared" si="12"/>
        <v>0</v>
      </c>
      <c r="G128" s="17">
        <f t="shared" si="13"/>
        <v>0</v>
      </c>
      <c r="H128" s="17">
        <f>IF(B128="","",SUM($F$12:F128))</f>
        <v>0</v>
      </c>
      <c r="I128" s="17">
        <f>IF(B128="","",SUM($G$12:G128))</f>
        <v>0</v>
      </c>
      <c r="J128" s="17">
        <f t="shared" si="10"/>
        <v>0</v>
      </c>
      <c r="K128" s="18">
        <f t="shared" si="11"/>
        <v>0</v>
      </c>
      <c r="L128" s="27" t="str">
        <f t="shared" si="14"/>
        <v/>
      </c>
    </row>
    <row r="129" spans="2:12" x14ac:dyDescent="0.2">
      <c r="B129" s="15">
        <f t="shared" si="15"/>
        <v>118</v>
      </c>
      <c r="C129" s="16">
        <f t="shared" si="16"/>
        <v>10</v>
      </c>
      <c r="D129" s="17">
        <f t="shared" si="17"/>
        <v>0</v>
      </c>
      <c r="E129" s="17">
        <f t="shared" ref="E129:E192" si="18">IF(B129="","",PMT($H$9/12,$K$9*12,-$D$9))</f>
        <v>0</v>
      </c>
      <c r="F129" s="17">
        <f t="shared" si="12"/>
        <v>0</v>
      </c>
      <c r="G129" s="17">
        <f t="shared" si="13"/>
        <v>0</v>
      </c>
      <c r="H129" s="17">
        <f>IF(B129="","",SUM($F$12:F129))</f>
        <v>0</v>
      </c>
      <c r="I129" s="17">
        <f>IF(B129="","",SUM($G$12:G129))</f>
        <v>0</v>
      </c>
      <c r="J129" s="17">
        <f t="shared" ref="J129:J192" si="19">IF(B129="","",$E$12*B129)</f>
        <v>0</v>
      </c>
      <c r="K129" s="18">
        <f t="shared" ref="K129:K192" si="20">IF(B129="","",D129-G129)</f>
        <v>0</v>
      </c>
      <c r="L129" s="27" t="str">
        <f t="shared" si="14"/>
        <v/>
      </c>
    </row>
    <row r="130" spans="2:12" x14ac:dyDescent="0.2">
      <c r="B130" s="15">
        <f t="shared" si="15"/>
        <v>119</v>
      </c>
      <c r="C130" s="16">
        <f t="shared" si="16"/>
        <v>10</v>
      </c>
      <c r="D130" s="17">
        <f t="shared" si="17"/>
        <v>0</v>
      </c>
      <c r="E130" s="17">
        <f t="shared" si="18"/>
        <v>0</v>
      </c>
      <c r="F130" s="17">
        <f t="shared" si="12"/>
        <v>0</v>
      </c>
      <c r="G130" s="17">
        <f t="shared" si="13"/>
        <v>0</v>
      </c>
      <c r="H130" s="17">
        <f>IF(B130="","",SUM($F$12:F130))</f>
        <v>0</v>
      </c>
      <c r="I130" s="17">
        <f>IF(B130="","",SUM($G$12:G130))</f>
        <v>0</v>
      </c>
      <c r="J130" s="17">
        <f t="shared" si="19"/>
        <v>0</v>
      </c>
      <c r="K130" s="18">
        <f t="shared" si="20"/>
        <v>0</v>
      </c>
      <c r="L130" s="27" t="str">
        <f t="shared" si="14"/>
        <v/>
      </c>
    </row>
    <row r="131" spans="2:12" x14ac:dyDescent="0.2">
      <c r="B131" s="15">
        <f t="shared" si="15"/>
        <v>120</v>
      </c>
      <c r="C131" s="16">
        <f t="shared" si="16"/>
        <v>10</v>
      </c>
      <c r="D131" s="17">
        <f t="shared" si="17"/>
        <v>0</v>
      </c>
      <c r="E131" s="17">
        <f t="shared" si="18"/>
        <v>0</v>
      </c>
      <c r="F131" s="17">
        <f t="shared" si="12"/>
        <v>0</v>
      </c>
      <c r="G131" s="17">
        <f t="shared" si="13"/>
        <v>0</v>
      </c>
      <c r="H131" s="17">
        <f>IF(B131="","",SUM($F$12:F131))</f>
        <v>0</v>
      </c>
      <c r="I131" s="17">
        <f>IF(B131="","",SUM($G$12:G131))</f>
        <v>0</v>
      </c>
      <c r="J131" s="17">
        <f t="shared" si="19"/>
        <v>0</v>
      </c>
      <c r="K131" s="18">
        <f t="shared" si="20"/>
        <v>0</v>
      </c>
      <c r="L131" s="27" t="str">
        <f t="shared" si="14"/>
        <v/>
      </c>
    </row>
    <row r="132" spans="2:12" x14ac:dyDescent="0.2">
      <c r="B132" s="15">
        <f t="shared" si="15"/>
        <v>121</v>
      </c>
      <c r="C132" s="16">
        <f t="shared" si="16"/>
        <v>11</v>
      </c>
      <c r="D132" s="17">
        <f t="shared" si="17"/>
        <v>0</v>
      </c>
      <c r="E132" s="17">
        <f t="shared" si="18"/>
        <v>0</v>
      </c>
      <c r="F132" s="17">
        <f t="shared" si="12"/>
        <v>0</v>
      </c>
      <c r="G132" s="17">
        <f t="shared" si="13"/>
        <v>0</v>
      </c>
      <c r="H132" s="17">
        <f>IF(B132="","",SUM($F$12:F132))</f>
        <v>0</v>
      </c>
      <c r="I132" s="17">
        <f>IF(B132="","",SUM($G$12:G132))</f>
        <v>0</v>
      </c>
      <c r="J132" s="17">
        <f t="shared" si="19"/>
        <v>0</v>
      </c>
      <c r="K132" s="18">
        <f t="shared" si="20"/>
        <v>0</v>
      </c>
      <c r="L132" s="27" t="str">
        <f t="shared" si="14"/>
        <v/>
      </c>
    </row>
    <row r="133" spans="2:12" x14ac:dyDescent="0.2">
      <c r="B133" s="15">
        <f t="shared" si="15"/>
        <v>122</v>
      </c>
      <c r="C133" s="16">
        <f t="shared" si="16"/>
        <v>11</v>
      </c>
      <c r="D133" s="17">
        <f t="shared" si="17"/>
        <v>0</v>
      </c>
      <c r="E133" s="17">
        <f t="shared" si="18"/>
        <v>0</v>
      </c>
      <c r="F133" s="17">
        <f t="shared" si="12"/>
        <v>0</v>
      </c>
      <c r="G133" s="17">
        <f t="shared" si="13"/>
        <v>0</v>
      </c>
      <c r="H133" s="17">
        <f>IF(B133="","",SUM($F$12:F133))</f>
        <v>0</v>
      </c>
      <c r="I133" s="17">
        <f>IF(B133="","",SUM($G$12:G133))</f>
        <v>0</v>
      </c>
      <c r="J133" s="17">
        <f t="shared" si="19"/>
        <v>0</v>
      </c>
      <c r="K133" s="18">
        <f t="shared" si="20"/>
        <v>0</v>
      </c>
      <c r="L133" s="27" t="str">
        <f t="shared" si="14"/>
        <v/>
      </c>
    </row>
    <row r="134" spans="2:12" x14ac:dyDescent="0.2">
      <c r="B134" s="15">
        <f t="shared" si="15"/>
        <v>123</v>
      </c>
      <c r="C134" s="16">
        <f t="shared" si="16"/>
        <v>11</v>
      </c>
      <c r="D134" s="17">
        <f t="shared" si="17"/>
        <v>0</v>
      </c>
      <c r="E134" s="17">
        <f t="shared" si="18"/>
        <v>0</v>
      </c>
      <c r="F134" s="17">
        <f t="shared" si="12"/>
        <v>0</v>
      </c>
      <c r="G134" s="17">
        <f t="shared" si="13"/>
        <v>0</v>
      </c>
      <c r="H134" s="17">
        <f>IF(B134="","",SUM($F$12:F134))</f>
        <v>0</v>
      </c>
      <c r="I134" s="17">
        <f>IF(B134="","",SUM($G$12:G134))</f>
        <v>0</v>
      </c>
      <c r="J134" s="17">
        <f t="shared" si="19"/>
        <v>0</v>
      </c>
      <c r="K134" s="18">
        <f t="shared" si="20"/>
        <v>0</v>
      </c>
      <c r="L134" s="27" t="str">
        <f t="shared" si="14"/>
        <v/>
      </c>
    </row>
    <row r="135" spans="2:12" x14ac:dyDescent="0.2">
      <c r="B135" s="15">
        <f t="shared" si="15"/>
        <v>124</v>
      </c>
      <c r="C135" s="16">
        <f t="shared" si="16"/>
        <v>11</v>
      </c>
      <c r="D135" s="17">
        <f t="shared" si="17"/>
        <v>0</v>
      </c>
      <c r="E135" s="17">
        <f t="shared" si="18"/>
        <v>0</v>
      </c>
      <c r="F135" s="17">
        <f t="shared" si="12"/>
        <v>0</v>
      </c>
      <c r="G135" s="17">
        <f t="shared" si="13"/>
        <v>0</v>
      </c>
      <c r="H135" s="17">
        <f>IF(B135="","",SUM($F$12:F135))</f>
        <v>0</v>
      </c>
      <c r="I135" s="17">
        <f>IF(B135="","",SUM($G$12:G135))</f>
        <v>0</v>
      </c>
      <c r="J135" s="17">
        <f t="shared" si="19"/>
        <v>0</v>
      </c>
      <c r="K135" s="18">
        <f t="shared" si="20"/>
        <v>0</v>
      </c>
      <c r="L135" s="27" t="str">
        <f t="shared" si="14"/>
        <v/>
      </c>
    </row>
    <row r="136" spans="2:12" x14ac:dyDescent="0.2">
      <c r="B136" s="15">
        <f t="shared" si="15"/>
        <v>125</v>
      </c>
      <c r="C136" s="16">
        <f t="shared" si="16"/>
        <v>11</v>
      </c>
      <c r="D136" s="17">
        <f t="shared" si="17"/>
        <v>0</v>
      </c>
      <c r="E136" s="17">
        <f t="shared" si="18"/>
        <v>0</v>
      </c>
      <c r="F136" s="17">
        <f t="shared" si="12"/>
        <v>0</v>
      </c>
      <c r="G136" s="17">
        <f t="shared" si="13"/>
        <v>0</v>
      </c>
      <c r="H136" s="17">
        <f>IF(B136="","",SUM($F$12:F136))</f>
        <v>0</v>
      </c>
      <c r="I136" s="17">
        <f>IF(B136="","",SUM($G$12:G136))</f>
        <v>0</v>
      </c>
      <c r="J136" s="17">
        <f t="shared" si="19"/>
        <v>0</v>
      </c>
      <c r="K136" s="18">
        <f t="shared" si="20"/>
        <v>0</v>
      </c>
      <c r="L136" s="27" t="str">
        <f t="shared" si="14"/>
        <v/>
      </c>
    </row>
    <row r="137" spans="2:12" x14ac:dyDescent="0.2">
      <c r="B137" s="15">
        <f t="shared" si="15"/>
        <v>126</v>
      </c>
      <c r="C137" s="16">
        <f t="shared" si="16"/>
        <v>11</v>
      </c>
      <c r="D137" s="17">
        <f t="shared" si="17"/>
        <v>0</v>
      </c>
      <c r="E137" s="17">
        <f t="shared" si="18"/>
        <v>0</v>
      </c>
      <c r="F137" s="17">
        <f t="shared" si="12"/>
        <v>0</v>
      </c>
      <c r="G137" s="17">
        <f t="shared" si="13"/>
        <v>0</v>
      </c>
      <c r="H137" s="17">
        <f>IF(B137="","",SUM($F$12:F137))</f>
        <v>0</v>
      </c>
      <c r="I137" s="17">
        <f>IF(B137="","",SUM($G$12:G137))</f>
        <v>0</v>
      </c>
      <c r="J137" s="17">
        <f t="shared" si="19"/>
        <v>0</v>
      </c>
      <c r="K137" s="18">
        <f t="shared" si="20"/>
        <v>0</v>
      </c>
      <c r="L137" s="27" t="str">
        <f t="shared" si="14"/>
        <v/>
      </c>
    </row>
    <row r="138" spans="2:12" x14ac:dyDescent="0.2">
      <c r="B138" s="15">
        <f t="shared" si="15"/>
        <v>127</v>
      </c>
      <c r="C138" s="16">
        <f t="shared" si="16"/>
        <v>11</v>
      </c>
      <c r="D138" s="17">
        <f t="shared" si="17"/>
        <v>0</v>
      </c>
      <c r="E138" s="17">
        <f t="shared" si="18"/>
        <v>0</v>
      </c>
      <c r="F138" s="17">
        <f t="shared" si="12"/>
        <v>0</v>
      </c>
      <c r="G138" s="17">
        <f t="shared" si="13"/>
        <v>0</v>
      </c>
      <c r="H138" s="17">
        <f>IF(B138="","",SUM($F$12:F138))</f>
        <v>0</v>
      </c>
      <c r="I138" s="17">
        <f>IF(B138="","",SUM($G$12:G138))</f>
        <v>0</v>
      </c>
      <c r="J138" s="17">
        <f t="shared" si="19"/>
        <v>0</v>
      </c>
      <c r="K138" s="18">
        <f t="shared" si="20"/>
        <v>0</v>
      </c>
      <c r="L138" s="27" t="str">
        <f t="shared" si="14"/>
        <v/>
      </c>
    </row>
    <row r="139" spans="2:12" x14ac:dyDescent="0.2">
      <c r="B139" s="15">
        <f t="shared" si="15"/>
        <v>128</v>
      </c>
      <c r="C139" s="16">
        <f t="shared" si="16"/>
        <v>11</v>
      </c>
      <c r="D139" s="17">
        <f t="shared" si="17"/>
        <v>0</v>
      </c>
      <c r="E139" s="17">
        <f t="shared" si="18"/>
        <v>0</v>
      </c>
      <c r="F139" s="17">
        <f t="shared" si="12"/>
        <v>0</v>
      </c>
      <c r="G139" s="17">
        <f t="shared" si="13"/>
        <v>0</v>
      </c>
      <c r="H139" s="17">
        <f>IF(B139="","",SUM($F$12:F139))</f>
        <v>0</v>
      </c>
      <c r="I139" s="17">
        <f>IF(B139="","",SUM($G$12:G139))</f>
        <v>0</v>
      </c>
      <c r="J139" s="17">
        <f t="shared" si="19"/>
        <v>0</v>
      </c>
      <c r="K139" s="18">
        <f t="shared" si="20"/>
        <v>0</v>
      </c>
      <c r="L139" s="27" t="str">
        <f t="shared" si="14"/>
        <v/>
      </c>
    </row>
    <row r="140" spans="2:12" x14ac:dyDescent="0.2">
      <c r="B140" s="15">
        <f t="shared" si="15"/>
        <v>129</v>
      </c>
      <c r="C140" s="16">
        <f t="shared" si="16"/>
        <v>11</v>
      </c>
      <c r="D140" s="17">
        <f t="shared" si="17"/>
        <v>0</v>
      </c>
      <c r="E140" s="17">
        <f t="shared" si="18"/>
        <v>0</v>
      </c>
      <c r="F140" s="17">
        <f t="shared" si="12"/>
        <v>0</v>
      </c>
      <c r="G140" s="17">
        <f t="shared" si="13"/>
        <v>0</v>
      </c>
      <c r="H140" s="17">
        <f>IF(B140="","",SUM($F$12:F140))</f>
        <v>0</v>
      </c>
      <c r="I140" s="17">
        <f>IF(B140="","",SUM($G$12:G140))</f>
        <v>0</v>
      </c>
      <c r="J140" s="17">
        <f t="shared" si="19"/>
        <v>0</v>
      </c>
      <c r="K140" s="18">
        <f t="shared" si="20"/>
        <v>0</v>
      </c>
      <c r="L140" s="27" t="str">
        <f t="shared" si="14"/>
        <v/>
      </c>
    </row>
    <row r="141" spans="2:12" x14ac:dyDescent="0.2">
      <c r="B141" s="15">
        <f t="shared" si="15"/>
        <v>130</v>
      </c>
      <c r="C141" s="16">
        <f t="shared" si="16"/>
        <v>11</v>
      </c>
      <c r="D141" s="17">
        <f t="shared" si="17"/>
        <v>0</v>
      </c>
      <c r="E141" s="17">
        <f t="shared" si="18"/>
        <v>0</v>
      </c>
      <c r="F141" s="17">
        <f t="shared" ref="F141:F204" si="21">IF(B141="","",IPMT($H$9/12,B141,$K$9*12,-$D$9))</f>
        <v>0</v>
      </c>
      <c r="G141" s="17">
        <f t="shared" ref="G141:G204" si="22">IF(B141="","",PPMT($H$9/12,B141,$K$9*12,-$D$9))</f>
        <v>0</v>
      </c>
      <c r="H141" s="17">
        <f>IF(B141="","",SUM($F$12:F141))</f>
        <v>0</v>
      </c>
      <c r="I141" s="17">
        <f>IF(B141="","",SUM($G$12:G141))</f>
        <v>0</v>
      </c>
      <c r="J141" s="17">
        <f t="shared" si="19"/>
        <v>0</v>
      </c>
      <c r="K141" s="18">
        <f t="shared" si="20"/>
        <v>0</v>
      </c>
      <c r="L141" s="27" t="str">
        <f t="shared" ref="L141:L204" si="23">IF(B141=$K$9*12,J141/$D$9,"")</f>
        <v/>
      </c>
    </row>
    <row r="142" spans="2:12" x14ac:dyDescent="0.2">
      <c r="B142" s="15">
        <f t="shared" ref="B142:B205" si="24">IF(ROW()-11&gt;$K$9*12,"",ROW()-11)</f>
        <v>131</v>
      </c>
      <c r="C142" s="16">
        <f t="shared" ref="C142:C205" si="25">IF(B142="","",ROUNDUP(B142/12,0))</f>
        <v>11</v>
      </c>
      <c r="D142" s="17">
        <f t="shared" ref="D142:D205" si="26">IF(B142="","",K141)</f>
        <v>0</v>
      </c>
      <c r="E142" s="17">
        <f t="shared" si="18"/>
        <v>0</v>
      </c>
      <c r="F142" s="17">
        <f t="shared" si="21"/>
        <v>0</v>
      </c>
      <c r="G142" s="17">
        <f t="shared" si="22"/>
        <v>0</v>
      </c>
      <c r="H142" s="17">
        <f>IF(B142="","",SUM($F$12:F142))</f>
        <v>0</v>
      </c>
      <c r="I142" s="17">
        <f>IF(B142="","",SUM($G$12:G142))</f>
        <v>0</v>
      </c>
      <c r="J142" s="17">
        <f t="shared" si="19"/>
        <v>0</v>
      </c>
      <c r="K142" s="18">
        <f t="shared" si="20"/>
        <v>0</v>
      </c>
      <c r="L142" s="27" t="str">
        <f t="shared" si="23"/>
        <v/>
      </c>
    </row>
    <row r="143" spans="2:12" x14ac:dyDescent="0.2">
      <c r="B143" s="15">
        <f t="shared" si="24"/>
        <v>132</v>
      </c>
      <c r="C143" s="16">
        <f t="shared" si="25"/>
        <v>11</v>
      </c>
      <c r="D143" s="17">
        <f t="shared" si="26"/>
        <v>0</v>
      </c>
      <c r="E143" s="17">
        <f t="shared" si="18"/>
        <v>0</v>
      </c>
      <c r="F143" s="17">
        <f t="shared" si="21"/>
        <v>0</v>
      </c>
      <c r="G143" s="17">
        <f t="shared" si="22"/>
        <v>0</v>
      </c>
      <c r="H143" s="17">
        <f>IF(B143="","",SUM($F$12:F143))</f>
        <v>0</v>
      </c>
      <c r="I143" s="17">
        <f>IF(B143="","",SUM($G$12:G143))</f>
        <v>0</v>
      </c>
      <c r="J143" s="17">
        <f t="shared" si="19"/>
        <v>0</v>
      </c>
      <c r="K143" s="18">
        <f t="shared" si="20"/>
        <v>0</v>
      </c>
      <c r="L143" s="27" t="str">
        <f t="shared" si="23"/>
        <v/>
      </c>
    </row>
    <row r="144" spans="2:12" x14ac:dyDescent="0.2">
      <c r="B144" s="15">
        <f t="shared" si="24"/>
        <v>133</v>
      </c>
      <c r="C144" s="16">
        <f t="shared" si="25"/>
        <v>12</v>
      </c>
      <c r="D144" s="17">
        <f t="shared" si="26"/>
        <v>0</v>
      </c>
      <c r="E144" s="17">
        <f t="shared" si="18"/>
        <v>0</v>
      </c>
      <c r="F144" s="17">
        <f t="shared" si="21"/>
        <v>0</v>
      </c>
      <c r="G144" s="17">
        <f t="shared" si="22"/>
        <v>0</v>
      </c>
      <c r="H144" s="17">
        <f>IF(B144="","",SUM($F$12:F144))</f>
        <v>0</v>
      </c>
      <c r="I144" s="17">
        <f>IF(B144="","",SUM($G$12:G144))</f>
        <v>0</v>
      </c>
      <c r="J144" s="17">
        <f t="shared" si="19"/>
        <v>0</v>
      </c>
      <c r="K144" s="18">
        <f t="shared" si="20"/>
        <v>0</v>
      </c>
      <c r="L144" s="27" t="str">
        <f t="shared" si="23"/>
        <v/>
      </c>
    </row>
    <row r="145" spans="2:12" x14ac:dyDescent="0.2">
      <c r="B145" s="15">
        <f t="shared" si="24"/>
        <v>134</v>
      </c>
      <c r="C145" s="16">
        <f t="shared" si="25"/>
        <v>12</v>
      </c>
      <c r="D145" s="17">
        <f t="shared" si="26"/>
        <v>0</v>
      </c>
      <c r="E145" s="17">
        <f t="shared" si="18"/>
        <v>0</v>
      </c>
      <c r="F145" s="17">
        <f t="shared" si="21"/>
        <v>0</v>
      </c>
      <c r="G145" s="17">
        <f t="shared" si="22"/>
        <v>0</v>
      </c>
      <c r="H145" s="17">
        <f>IF(B145="","",SUM($F$12:F145))</f>
        <v>0</v>
      </c>
      <c r="I145" s="17">
        <f>IF(B145="","",SUM($G$12:G145))</f>
        <v>0</v>
      </c>
      <c r="J145" s="17">
        <f t="shared" si="19"/>
        <v>0</v>
      </c>
      <c r="K145" s="18">
        <f t="shared" si="20"/>
        <v>0</v>
      </c>
      <c r="L145" s="27" t="str">
        <f t="shared" si="23"/>
        <v/>
      </c>
    </row>
    <row r="146" spans="2:12" x14ac:dyDescent="0.2">
      <c r="B146" s="15">
        <f t="shared" si="24"/>
        <v>135</v>
      </c>
      <c r="C146" s="16">
        <f t="shared" si="25"/>
        <v>12</v>
      </c>
      <c r="D146" s="17">
        <f t="shared" si="26"/>
        <v>0</v>
      </c>
      <c r="E146" s="17">
        <f t="shared" si="18"/>
        <v>0</v>
      </c>
      <c r="F146" s="17">
        <f t="shared" si="21"/>
        <v>0</v>
      </c>
      <c r="G146" s="17">
        <f t="shared" si="22"/>
        <v>0</v>
      </c>
      <c r="H146" s="17">
        <f>IF(B146="","",SUM($F$12:F146))</f>
        <v>0</v>
      </c>
      <c r="I146" s="17">
        <f>IF(B146="","",SUM($G$12:G146))</f>
        <v>0</v>
      </c>
      <c r="J146" s="17">
        <f t="shared" si="19"/>
        <v>0</v>
      </c>
      <c r="K146" s="18">
        <f t="shared" si="20"/>
        <v>0</v>
      </c>
      <c r="L146" s="27" t="str">
        <f t="shared" si="23"/>
        <v/>
      </c>
    </row>
    <row r="147" spans="2:12" x14ac:dyDescent="0.2">
      <c r="B147" s="15">
        <f t="shared" si="24"/>
        <v>136</v>
      </c>
      <c r="C147" s="16">
        <f t="shared" si="25"/>
        <v>12</v>
      </c>
      <c r="D147" s="17">
        <f t="shared" si="26"/>
        <v>0</v>
      </c>
      <c r="E147" s="17">
        <f t="shared" si="18"/>
        <v>0</v>
      </c>
      <c r="F147" s="17">
        <f t="shared" si="21"/>
        <v>0</v>
      </c>
      <c r="G147" s="17">
        <f t="shared" si="22"/>
        <v>0</v>
      </c>
      <c r="H147" s="17">
        <f>IF(B147="","",SUM($F$12:F147))</f>
        <v>0</v>
      </c>
      <c r="I147" s="17">
        <f>IF(B147="","",SUM($G$12:G147))</f>
        <v>0</v>
      </c>
      <c r="J147" s="17">
        <f t="shared" si="19"/>
        <v>0</v>
      </c>
      <c r="K147" s="18">
        <f t="shared" si="20"/>
        <v>0</v>
      </c>
      <c r="L147" s="27" t="str">
        <f t="shared" si="23"/>
        <v/>
      </c>
    </row>
    <row r="148" spans="2:12" x14ac:dyDescent="0.2">
      <c r="B148" s="15">
        <f t="shared" si="24"/>
        <v>137</v>
      </c>
      <c r="C148" s="16">
        <f t="shared" si="25"/>
        <v>12</v>
      </c>
      <c r="D148" s="17">
        <f t="shared" si="26"/>
        <v>0</v>
      </c>
      <c r="E148" s="17">
        <f t="shared" si="18"/>
        <v>0</v>
      </c>
      <c r="F148" s="17">
        <f t="shared" si="21"/>
        <v>0</v>
      </c>
      <c r="G148" s="17">
        <f t="shared" si="22"/>
        <v>0</v>
      </c>
      <c r="H148" s="17">
        <f>IF(B148="","",SUM($F$12:F148))</f>
        <v>0</v>
      </c>
      <c r="I148" s="17">
        <f>IF(B148="","",SUM($G$12:G148))</f>
        <v>0</v>
      </c>
      <c r="J148" s="17">
        <f t="shared" si="19"/>
        <v>0</v>
      </c>
      <c r="K148" s="18">
        <f t="shared" si="20"/>
        <v>0</v>
      </c>
      <c r="L148" s="27" t="str">
        <f t="shared" si="23"/>
        <v/>
      </c>
    </row>
    <row r="149" spans="2:12" x14ac:dyDescent="0.2">
      <c r="B149" s="15">
        <f t="shared" si="24"/>
        <v>138</v>
      </c>
      <c r="C149" s="16">
        <f t="shared" si="25"/>
        <v>12</v>
      </c>
      <c r="D149" s="17">
        <f t="shared" si="26"/>
        <v>0</v>
      </c>
      <c r="E149" s="17">
        <f t="shared" si="18"/>
        <v>0</v>
      </c>
      <c r="F149" s="17">
        <f t="shared" si="21"/>
        <v>0</v>
      </c>
      <c r="G149" s="17">
        <f t="shared" si="22"/>
        <v>0</v>
      </c>
      <c r="H149" s="17">
        <f>IF(B149="","",SUM($F$12:F149))</f>
        <v>0</v>
      </c>
      <c r="I149" s="17">
        <f>IF(B149="","",SUM($G$12:G149))</f>
        <v>0</v>
      </c>
      <c r="J149" s="17">
        <f t="shared" si="19"/>
        <v>0</v>
      </c>
      <c r="K149" s="18">
        <f t="shared" si="20"/>
        <v>0</v>
      </c>
      <c r="L149" s="27" t="str">
        <f t="shared" si="23"/>
        <v/>
      </c>
    </row>
    <row r="150" spans="2:12" x14ac:dyDescent="0.2">
      <c r="B150" s="15">
        <f t="shared" si="24"/>
        <v>139</v>
      </c>
      <c r="C150" s="16">
        <f t="shared" si="25"/>
        <v>12</v>
      </c>
      <c r="D150" s="17">
        <f t="shared" si="26"/>
        <v>0</v>
      </c>
      <c r="E150" s="17">
        <f t="shared" si="18"/>
        <v>0</v>
      </c>
      <c r="F150" s="17">
        <f t="shared" si="21"/>
        <v>0</v>
      </c>
      <c r="G150" s="17">
        <f t="shared" si="22"/>
        <v>0</v>
      </c>
      <c r="H150" s="17">
        <f>IF(B150="","",SUM($F$12:F150))</f>
        <v>0</v>
      </c>
      <c r="I150" s="17">
        <f>IF(B150="","",SUM($G$12:G150))</f>
        <v>0</v>
      </c>
      <c r="J150" s="17">
        <f t="shared" si="19"/>
        <v>0</v>
      </c>
      <c r="K150" s="18">
        <f t="shared" si="20"/>
        <v>0</v>
      </c>
      <c r="L150" s="27" t="str">
        <f t="shared" si="23"/>
        <v/>
      </c>
    </row>
    <row r="151" spans="2:12" x14ac:dyDescent="0.2">
      <c r="B151" s="15">
        <f t="shared" si="24"/>
        <v>140</v>
      </c>
      <c r="C151" s="16">
        <f t="shared" si="25"/>
        <v>12</v>
      </c>
      <c r="D151" s="17">
        <f t="shared" si="26"/>
        <v>0</v>
      </c>
      <c r="E151" s="17">
        <f t="shared" si="18"/>
        <v>0</v>
      </c>
      <c r="F151" s="17">
        <f t="shared" si="21"/>
        <v>0</v>
      </c>
      <c r="G151" s="17">
        <f t="shared" si="22"/>
        <v>0</v>
      </c>
      <c r="H151" s="17">
        <f>IF(B151="","",SUM($F$12:F151))</f>
        <v>0</v>
      </c>
      <c r="I151" s="17">
        <f>IF(B151="","",SUM($G$12:G151))</f>
        <v>0</v>
      </c>
      <c r="J151" s="17">
        <f t="shared" si="19"/>
        <v>0</v>
      </c>
      <c r="K151" s="18">
        <f t="shared" si="20"/>
        <v>0</v>
      </c>
      <c r="L151" s="27" t="str">
        <f t="shared" si="23"/>
        <v/>
      </c>
    </row>
    <row r="152" spans="2:12" x14ac:dyDescent="0.2">
      <c r="B152" s="15">
        <f t="shared" si="24"/>
        <v>141</v>
      </c>
      <c r="C152" s="16">
        <f t="shared" si="25"/>
        <v>12</v>
      </c>
      <c r="D152" s="17">
        <f t="shared" si="26"/>
        <v>0</v>
      </c>
      <c r="E152" s="17">
        <f t="shared" si="18"/>
        <v>0</v>
      </c>
      <c r="F152" s="17">
        <f t="shared" si="21"/>
        <v>0</v>
      </c>
      <c r="G152" s="17">
        <f t="shared" si="22"/>
        <v>0</v>
      </c>
      <c r="H152" s="17">
        <f>IF(B152="","",SUM($F$12:F152))</f>
        <v>0</v>
      </c>
      <c r="I152" s="17">
        <f>IF(B152="","",SUM($G$12:G152))</f>
        <v>0</v>
      </c>
      <c r="J152" s="17">
        <f t="shared" si="19"/>
        <v>0</v>
      </c>
      <c r="K152" s="18">
        <f t="shared" si="20"/>
        <v>0</v>
      </c>
      <c r="L152" s="27" t="str">
        <f t="shared" si="23"/>
        <v/>
      </c>
    </row>
    <row r="153" spans="2:12" x14ac:dyDescent="0.2">
      <c r="B153" s="15">
        <f t="shared" si="24"/>
        <v>142</v>
      </c>
      <c r="C153" s="16">
        <f t="shared" si="25"/>
        <v>12</v>
      </c>
      <c r="D153" s="17">
        <f t="shared" si="26"/>
        <v>0</v>
      </c>
      <c r="E153" s="17">
        <f t="shared" si="18"/>
        <v>0</v>
      </c>
      <c r="F153" s="17">
        <f t="shared" si="21"/>
        <v>0</v>
      </c>
      <c r="G153" s="17">
        <f t="shared" si="22"/>
        <v>0</v>
      </c>
      <c r="H153" s="17">
        <f>IF(B153="","",SUM($F$12:F153))</f>
        <v>0</v>
      </c>
      <c r="I153" s="17">
        <f>IF(B153="","",SUM($G$12:G153))</f>
        <v>0</v>
      </c>
      <c r="J153" s="17">
        <f t="shared" si="19"/>
        <v>0</v>
      </c>
      <c r="K153" s="18">
        <f t="shared" si="20"/>
        <v>0</v>
      </c>
      <c r="L153" s="27" t="str">
        <f t="shared" si="23"/>
        <v/>
      </c>
    </row>
    <row r="154" spans="2:12" x14ac:dyDescent="0.2">
      <c r="B154" s="15">
        <f t="shared" si="24"/>
        <v>143</v>
      </c>
      <c r="C154" s="16">
        <f t="shared" si="25"/>
        <v>12</v>
      </c>
      <c r="D154" s="17">
        <f t="shared" si="26"/>
        <v>0</v>
      </c>
      <c r="E154" s="17">
        <f t="shared" si="18"/>
        <v>0</v>
      </c>
      <c r="F154" s="17">
        <f t="shared" si="21"/>
        <v>0</v>
      </c>
      <c r="G154" s="17">
        <f t="shared" si="22"/>
        <v>0</v>
      </c>
      <c r="H154" s="17">
        <f>IF(B154="","",SUM($F$12:F154))</f>
        <v>0</v>
      </c>
      <c r="I154" s="17">
        <f>IF(B154="","",SUM($G$12:G154))</f>
        <v>0</v>
      </c>
      <c r="J154" s="17">
        <f t="shared" si="19"/>
        <v>0</v>
      </c>
      <c r="K154" s="18">
        <f t="shared" si="20"/>
        <v>0</v>
      </c>
      <c r="L154" s="27" t="str">
        <f t="shared" si="23"/>
        <v/>
      </c>
    </row>
    <row r="155" spans="2:12" x14ac:dyDescent="0.2">
      <c r="B155" s="15">
        <f t="shared" si="24"/>
        <v>144</v>
      </c>
      <c r="C155" s="16">
        <f t="shared" si="25"/>
        <v>12</v>
      </c>
      <c r="D155" s="17">
        <f t="shared" si="26"/>
        <v>0</v>
      </c>
      <c r="E155" s="17">
        <f t="shared" si="18"/>
        <v>0</v>
      </c>
      <c r="F155" s="17">
        <f t="shared" si="21"/>
        <v>0</v>
      </c>
      <c r="G155" s="17">
        <f t="shared" si="22"/>
        <v>0</v>
      </c>
      <c r="H155" s="17">
        <f>IF(B155="","",SUM($F$12:F155))</f>
        <v>0</v>
      </c>
      <c r="I155" s="17">
        <f>IF(B155="","",SUM($G$12:G155))</f>
        <v>0</v>
      </c>
      <c r="J155" s="17">
        <f t="shared" si="19"/>
        <v>0</v>
      </c>
      <c r="K155" s="18">
        <f t="shared" si="20"/>
        <v>0</v>
      </c>
      <c r="L155" s="27" t="str">
        <f t="shared" si="23"/>
        <v/>
      </c>
    </row>
    <row r="156" spans="2:12" x14ac:dyDescent="0.2">
      <c r="B156" s="15">
        <f t="shared" si="24"/>
        <v>145</v>
      </c>
      <c r="C156" s="16">
        <f t="shared" si="25"/>
        <v>13</v>
      </c>
      <c r="D156" s="17">
        <f t="shared" si="26"/>
        <v>0</v>
      </c>
      <c r="E156" s="17">
        <f t="shared" si="18"/>
        <v>0</v>
      </c>
      <c r="F156" s="17">
        <f t="shared" si="21"/>
        <v>0</v>
      </c>
      <c r="G156" s="17">
        <f t="shared" si="22"/>
        <v>0</v>
      </c>
      <c r="H156" s="17">
        <f>IF(B156="","",SUM($F$12:F156))</f>
        <v>0</v>
      </c>
      <c r="I156" s="17">
        <f>IF(B156="","",SUM($G$12:G156))</f>
        <v>0</v>
      </c>
      <c r="J156" s="17">
        <f t="shared" si="19"/>
        <v>0</v>
      </c>
      <c r="K156" s="18">
        <f t="shared" si="20"/>
        <v>0</v>
      </c>
      <c r="L156" s="27" t="str">
        <f t="shared" si="23"/>
        <v/>
      </c>
    </row>
    <row r="157" spans="2:12" x14ac:dyDescent="0.2">
      <c r="B157" s="15">
        <f t="shared" si="24"/>
        <v>146</v>
      </c>
      <c r="C157" s="16">
        <f t="shared" si="25"/>
        <v>13</v>
      </c>
      <c r="D157" s="17">
        <f t="shared" si="26"/>
        <v>0</v>
      </c>
      <c r="E157" s="17">
        <f t="shared" si="18"/>
        <v>0</v>
      </c>
      <c r="F157" s="17">
        <f t="shared" si="21"/>
        <v>0</v>
      </c>
      <c r="G157" s="17">
        <f t="shared" si="22"/>
        <v>0</v>
      </c>
      <c r="H157" s="17">
        <f>IF(B157="","",SUM($F$12:F157))</f>
        <v>0</v>
      </c>
      <c r="I157" s="17">
        <f>IF(B157="","",SUM($G$12:G157))</f>
        <v>0</v>
      </c>
      <c r="J157" s="17">
        <f t="shared" si="19"/>
        <v>0</v>
      </c>
      <c r="K157" s="18">
        <f t="shared" si="20"/>
        <v>0</v>
      </c>
      <c r="L157" s="27" t="str">
        <f t="shared" si="23"/>
        <v/>
      </c>
    </row>
    <row r="158" spans="2:12" x14ac:dyDescent="0.2">
      <c r="B158" s="15">
        <f t="shared" si="24"/>
        <v>147</v>
      </c>
      <c r="C158" s="16">
        <f t="shared" si="25"/>
        <v>13</v>
      </c>
      <c r="D158" s="17">
        <f t="shared" si="26"/>
        <v>0</v>
      </c>
      <c r="E158" s="17">
        <f t="shared" si="18"/>
        <v>0</v>
      </c>
      <c r="F158" s="17">
        <f t="shared" si="21"/>
        <v>0</v>
      </c>
      <c r="G158" s="17">
        <f t="shared" si="22"/>
        <v>0</v>
      </c>
      <c r="H158" s="17">
        <f>IF(B158="","",SUM($F$12:F158))</f>
        <v>0</v>
      </c>
      <c r="I158" s="17">
        <f>IF(B158="","",SUM($G$12:G158))</f>
        <v>0</v>
      </c>
      <c r="J158" s="17">
        <f t="shared" si="19"/>
        <v>0</v>
      </c>
      <c r="K158" s="18">
        <f t="shared" si="20"/>
        <v>0</v>
      </c>
      <c r="L158" s="27" t="str">
        <f t="shared" si="23"/>
        <v/>
      </c>
    </row>
    <row r="159" spans="2:12" x14ac:dyDescent="0.2">
      <c r="B159" s="15">
        <f t="shared" si="24"/>
        <v>148</v>
      </c>
      <c r="C159" s="16">
        <f t="shared" si="25"/>
        <v>13</v>
      </c>
      <c r="D159" s="17">
        <f t="shared" si="26"/>
        <v>0</v>
      </c>
      <c r="E159" s="17">
        <f t="shared" si="18"/>
        <v>0</v>
      </c>
      <c r="F159" s="17">
        <f t="shared" si="21"/>
        <v>0</v>
      </c>
      <c r="G159" s="17">
        <f t="shared" si="22"/>
        <v>0</v>
      </c>
      <c r="H159" s="17">
        <f>IF(B159="","",SUM($F$12:F159))</f>
        <v>0</v>
      </c>
      <c r="I159" s="17">
        <f>IF(B159="","",SUM($G$12:G159))</f>
        <v>0</v>
      </c>
      <c r="J159" s="17">
        <f t="shared" si="19"/>
        <v>0</v>
      </c>
      <c r="K159" s="18">
        <f t="shared" si="20"/>
        <v>0</v>
      </c>
      <c r="L159" s="27" t="str">
        <f t="shared" si="23"/>
        <v/>
      </c>
    </row>
    <row r="160" spans="2:12" x14ac:dyDescent="0.2">
      <c r="B160" s="15">
        <f t="shared" si="24"/>
        <v>149</v>
      </c>
      <c r="C160" s="16">
        <f t="shared" si="25"/>
        <v>13</v>
      </c>
      <c r="D160" s="17">
        <f t="shared" si="26"/>
        <v>0</v>
      </c>
      <c r="E160" s="17">
        <f t="shared" si="18"/>
        <v>0</v>
      </c>
      <c r="F160" s="17">
        <f t="shared" si="21"/>
        <v>0</v>
      </c>
      <c r="G160" s="17">
        <f t="shared" si="22"/>
        <v>0</v>
      </c>
      <c r="H160" s="17">
        <f>IF(B160="","",SUM($F$12:F160))</f>
        <v>0</v>
      </c>
      <c r="I160" s="17">
        <f>IF(B160="","",SUM($G$12:G160))</f>
        <v>0</v>
      </c>
      <c r="J160" s="17">
        <f t="shared" si="19"/>
        <v>0</v>
      </c>
      <c r="K160" s="18">
        <f t="shared" si="20"/>
        <v>0</v>
      </c>
      <c r="L160" s="27" t="str">
        <f t="shared" si="23"/>
        <v/>
      </c>
    </row>
    <row r="161" spans="2:12" x14ac:dyDescent="0.2">
      <c r="B161" s="15">
        <f t="shared" si="24"/>
        <v>150</v>
      </c>
      <c r="C161" s="16">
        <f t="shared" si="25"/>
        <v>13</v>
      </c>
      <c r="D161" s="17">
        <f t="shared" si="26"/>
        <v>0</v>
      </c>
      <c r="E161" s="17">
        <f t="shared" si="18"/>
        <v>0</v>
      </c>
      <c r="F161" s="17">
        <f t="shared" si="21"/>
        <v>0</v>
      </c>
      <c r="G161" s="17">
        <f t="shared" si="22"/>
        <v>0</v>
      </c>
      <c r="H161" s="17">
        <f>IF(B161="","",SUM($F$12:F161))</f>
        <v>0</v>
      </c>
      <c r="I161" s="17">
        <f>IF(B161="","",SUM($G$12:G161))</f>
        <v>0</v>
      </c>
      <c r="J161" s="17">
        <f t="shared" si="19"/>
        <v>0</v>
      </c>
      <c r="K161" s="18">
        <f t="shared" si="20"/>
        <v>0</v>
      </c>
      <c r="L161" s="27" t="str">
        <f t="shared" si="23"/>
        <v/>
      </c>
    </row>
    <row r="162" spans="2:12" x14ac:dyDescent="0.2">
      <c r="B162" s="15">
        <f t="shared" si="24"/>
        <v>151</v>
      </c>
      <c r="C162" s="16">
        <f t="shared" si="25"/>
        <v>13</v>
      </c>
      <c r="D162" s="17">
        <f t="shared" si="26"/>
        <v>0</v>
      </c>
      <c r="E162" s="17">
        <f t="shared" si="18"/>
        <v>0</v>
      </c>
      <c r="F162" s="17">
        <f t="shared" si="21"/>
        <v>0</v>
      </c>
      <c r="G162" s="17">
        <f t="shared" si="22"/>
        <v>0</v>
      </c>
      <c r="H162" s="17">
        <f>IF(B162="","",SUM($F$12:F162))</f>
        <v>0</v>
      </c>
      <c r="I162" s="17">
        <f>IF(B162="","",SUM($G$12:G162))</f>
        <v>0</v>
      </c>
      <c r="J162" s="17">
        <f t="shared" si="19"/>
        <v>0</v>
      </c>
      <c r="K162" s="18">
        <f t="shared" si="20"/>
        <v>0</v>
      </c>
      <c r="L162" s="27" t="str">
        <f t="shared" si="23"/>
        <v/>
      </c>
    </row>
    <row r="163" spans="2:12" x14ac:dyDescent="0.2">
      <c r="B163" s="15">
        <f t="shared" si="24"/>
        <v>152</v>
      </c>
      <c r="C163" s="16">
        <f t="shared" si="25"/>
        <v>13</v>
      </c>
      <c r="D163" s="17">
        <f t="shared" si="26"/>
        <v>0</v>
      </c>
      <c r="E163" s="17">
        <f t="shared" si="18"/>
        <v>0</v>
      </c>
      <c r="F163" s="17">
        <f t="shared" si="21"/>
        <v>0</v>
      </c>
      <c r="G163" s="17">
        <f t="shared" si="22"/>
        <v>0</v>
      </c>
      <c r="H163" s="17">
        <f>IF(B163="","",SUM($F$12:F163))</f>
        <v>0</v>
      </c>
      <c r="I163" s="17">
        <f>IF(B163="","",SUM($G$12:G163))</f>
        <v>0</v>
      </c>
      <c r="J163" s="17">
        <f t="shared" si="19"/>
        <v>0</v>
      </c>
      <c r="K163" s="18">
        <f t="shared" si="20"/>
        <v>0</v>
      </c>
      <c r="L163" s="27" t="str">
        <f t="shared" si="23"/>
        <v/>
      </c>
    </row>
    <row r="164" spans="2:12" x14ac:dyDescent="0.2">
      <c r="B164" s="15">
        <f t="shared" si="24"/>
        <v>153</v>
      </c>
      <c r="C164" s="16">
        <f t="shared" si="25"/>
        <v>13</v>
      </c>
      <c r="D164" s="17">
        <f t="shared" si="26"/>
        <v>0</v>
      </c>
      <c r="E164" s="17">
        <f t="shared" si="18"/>
        <v>0</v>
      </c>
      <c r="F164" s="17">
        <f t="shared" si="21"/>
        <v>0</v>
      </c>
      <c r="G164" s="17">
        <f t="shared" si="22"/>
        <v>0</v>
      </c>
      <c r="H164" s="17">
        <f>IF(B164="","",SUM($F$12:F164))</f>
        <v>0</v>
      </c>
      <c r="I164" s="17">
        <f>IF(B164="","",SUM($G$12:G164))</f>
        <v>0</v>
      </c>
      <c r="J164" s="17">
        <f t="shared" si="19"/>
        <v>0</v>
      </c>
      <c r="K164" s="18">
        <f t="shared" si="20"/>
        <v>0</v>
      </c>
      <c r="L164" s="27" t="str">
        <f t="shared" si="23"/>
        <v/>
      </c>
    </row>
    <row r="165" spans="2:12" x14ac:dyDescent="0.2">
      <c r="B165" s="15">
        <f t="shared" si="24"/>
        <v>154</v>
      </c>
      <c r="C165" s="16">
        <f t="shared" si="25"/>
        <v>13</v>
      </c>
      <c r="D165" s="17">
        <f t="shared" si="26"/>
        <v>0</v>
      </c>
      <c r="E165" s="17">
        <f t="shared" si="18"/>
        <v>0</v>
      </c>
      <c r="F165" s="17">
        <f t="shared" si="21"/>
        <v>0</v>
      </c>
      <c r="G165" s="17">
        <f t="shared" si="22"/>
        <v>0</v>
      </c>
      <c r="H165" s="17">
        <f>IF(B165="","",SUM($F$12:F165))</f>
        <v>0</v>
      </c>
      <c r="I165" s="17">
        <f>IF(B165="","",SUM($G$12:G165))</f>
        <v>0</v>
      </c>
      <c r="J165" s="17">
        <f t="shared" si="19"/>
        <v>0</v>
      </c>
      <c r="K165" s="18">
        <f t="shared" si="20"/>
        <v>0</v>
      </c>
      <c r="L165" s="27" t="str">
        <f t="shared" si="23"/>
        <v/>
      </c>
    </row>
    <row r="166" spans="2:12" x14ac:dyDescent="0.2">
      <c r="B166" s="15">
        <f t="shared" si="24"/>
        <v>155</v>
      </c>
      <c r="C166" s="16">
        <f t="shared" si="25"/>
        <v>13</v>
      </c>
      <c r="D166" s="17">
        <f t="shared" si="26"/>
        <v>0</v>
      </c>
      <c r="E166" s="17">
        <f t="shared" si="18"/>
        <v>0</v>
      </c>
      <c r="F166" s="17">
        <f t="shared" si="21"/>
        <v>0</v>
      </c>
      <c r="G166" s="17">
        <f t="shared" si="22"/>
        <v>0</v>
      </c>
      <c r="H166" s="17">
        <f>IF(B166="","",SUM($F$12:F166))</f>
        <v>0</v>
      </c>
      <c r="I166" s="17">
        <f>IF(B166="","",SUM($G$12:G166))</f>
        <v>0</v>
      </c>
      <c r="J166" s="17">
        <f t="shared" si="19"/>
        <v>0</v>
      </c>
      <c r="K166" s="18">
        <f t="shared" si="20"/>
        <v>0</v>
      </c>
      <c r="L166" s="27" t="str">
        <f t="shared" si="23"/>
        <v/>
      </c>
    </row>
    <row r="167" spans="2:12" x14ac:dyDescent="0.2">
      <c r="B167" s="15">
        <f t="shared" si="24"/>
        <v>156</v>
      </c>
      <c r="C167" s="16">
        <f t="shared" si="25"/>
        <v>13</v>
      </c>
      <c r="D167" s="17">
        <f t="shared" si="26"/>
        <v>0</v>
      </c>
      <c r="E167" s="17">
        <f t="shared" si="18"/>
        <v>0</v>
      </c>
      <c r="F167" s="17">
        <f t="shared" si="21"/>
        <v>0</v>
      </c>
      <c r="G167" s="17">
        <f t="shared" si="22"/>
        <v>0</v>
      </c>
      <c r="H167" s="17">
        <f>IF(B167="","",SUM($F$12:F167))</f>
        <v>0</v>
      </c>
      <c r="I167" s="17">
        <f>IF(B167="","",SUM($G$12:G167))</f>
        <v>0</v>
      </c>
      <c r="J167" s="17">
        <f t="shared" si="19"/>
        <v>0</v>
      </c>
      <c r="K167" s="18">
        <f t="shared" si="20"/>
        <v>0</v>
      </c>
      <c r="L167" s="27" t="str">
        <f t="shared" si="23"/>
        <v/>
      </c>
    </row>
    <row r="168" spans="2:12" x14ac:dyDescent="0.2">
      <c r="B168" s="15">
        <f t="shared" si="24"/>
        <v>157</v>
      </c>
      <c r="C168" s="16">
        <f t="shared" si="25"/>
        <v>14</v>
      </c>
      <c r="D168" s="17">
        <f t="shared" si="26"/>
        <v>0</v>
      </c>
      <c r="E168" s="17">
        <f t="shared" si="18"/>
        <v>0</v>
      </c>
      <c r="F168" s="17">
        <f t="shared" si="21"/>
        <v>0</v>
      </c>
      <c r="G168" s="17">
        <f t="shared" si="22"/>
        <v>0</v>
      </c>
      <c r="H168" s="17">
        <f>IF(B168="","",SUM($F$12:F168))</f>
        <v>0</v>
      </c>
      <c r="I168" s="17">
        <f>IF(B168="","",SUM($G$12:G168))</f>
        <v>0</v>
      </c>
      <c r="J168" s="17">
        <f t="shared" si="19"/>
        <v>0</v>
      </c>
      <c r="K168" s="18">
        <f t="shared" si="20"/>
        <v>0</v>
      </c>
      <c r="L168" s="27" t="str">
        <f t="shared" si="23"/>
        <v/>
      </c>
    </row>
    <row r="169" spans="2:12" x14ac:dyDescent="0.2">
      <c r="B169" s="15">
        <f t="shared" si="24"/>
        <v>158</v>
      </c>
      <c r="C169" s="16">
        <f t="shared" si="25"/>
        <v>14</v>
      </c>
      <c r="D169" s="17">
        <f t="shared" si="26"/>
        <v>0</v>
      </c>
      <c r="E169" s="17">
        <f t="shared" si="18"/>
        <v>0</v>
      </c>
      <c r="F169" s="17">
        <f t="shared" si="21"/>
        <v>0</v>
      </c>
      <c r="G169" s="17">
        <f t="shared" si="22"/>
        <v>0</v>
      </c>
      <c r="H169" s="17">
        <f>IF(B169="","",SUM($F$12:F169))</f>
        <v>0</v>
      </c>
      <c r="I169" s="17">
        <f>IF(B169="","",SUM($G$12:G169))</f>
        <v>0</v>
      </c>
      <c r="J169" s="17">
        <f t="shared" si="19"/>
        <v>0</v>
      </c>
      <c r="K169" s="18">
        <f t="shared" si="20"/>
        <v>0</v>
      </c>
      <c r="L169" s="27" t="str">
        <f t="shared" si="23"/>
        <v/>
      </c>
    </row>
    <row r="170" spans="2:12" x14ac:dyDescent="0.2">
      <c r="B170" s="15">
        <f t="shared" si="24"/>
        <v>159</v>
      </c>
      <c r="C170" s="16">
        <f t="shared" si="25"/>
        <v>14</v>
      </c>
      <c r="D170" s="17">
        <f t="shared" si="26"/>
        <v>0</v>
      </c>
      <c r="E170" s="17">
        <f t="shared" si="18"/>
        <v>0</v>
      </c>
      <c r="F170" s="17">
        <f t="shared" si="21"/>
        <v>0</v>
      </c>
      <c r="G170" s="17">
        <f t="shared" si="22"/>
        <v>0</v>
      </c>
      <c r="H170" s="17">
        <f>IF(B170="","",SUM($F$12:F170))</f>
        <v>0</v>
      </c>
      <c r="I170" s="17">
        <f>IF(B170="","",SUM($G$12:G170))</f>
        <v>0</v>
      </c>
      <c r="J170" s="17">
        <f t="shared" si="19"/>
        <v>0</v>
      </c>
      <c r="K170" s="18">
        <f t="shared" si="20"/>
        <v>0</v>
      </c>
      <c r="L170" s="27" t="str">
        <f t="shared" si="23"/>
        <v/>
      </c>
    </row>
    <row r="171" spans="2:12" x14ac:dyDescent="0.2">
      <c r="B171" s="15">
        <f t="shared" si="24"/>
        <v>160</v>
      </c>
      <c r="C171" s="16">
        <f t="shared" si="25"/>
        <v>14</v>
      </c>
      <c r="D171" s="17">
        <f t="shared" si="26"/>
        <v>0</v>
      </c>
      <c r="E171" s="17">
        <f t="shared" si="18"/>
        <v>0</v>
      </c>
      <c r="F171" s="17">
        <f t="shared" si="21"/>
        <v>0</v>
      </c>
      <c r="G171" s="17">
        <f t="shared" si="22"/>
        <v>0</v>
      </c>
      <c r="H171" s="17">
        <f>IF(B171="","",SUM($F$12:F171))</f>
        <v>0</v>
      </c>
      <c r="I171" s="17">
        <f>IF(B171="","",SUM($G$12:G171))</f>
        <v>0</v>
      </c>
      <c r="J171" s="17">
        <f t="shared" si="19"/>
        <v>0</v>
      </c>
      <c r="K171" s="18">
        <f t="shared" si="20"/>
        <v>0</v>
      </c>
      <c r="L171" s="27" t="str">
        <f t="shared" si="23"/>
        <v/>
      </c>
    </row>
    <row r="172" spans="2:12" x14ac:dyDescent="0.2">
      <c r="B172" s="15">
        <f t="shared" si="24"/>
        <v>161</v>
      </c>
      <c r="C172" s="16">
        <f t="shared" si="25"/>
        <v>14</v>
      </c>
      <c r="D172" s="17">
        <f t="shared" si="26"/>
        <v>0</v>
      </c>
      <c r="E172" s="17">
        <f t="shared" si="18"/>
        <v>0</v>
      </c>
      <c r="F172" s="17">
        <f t="shared" si="21"/>
        <v>0</v>
      </c>
      <c r="G172" s="17">
        <f t="shared" si="22"/>
        <v>0</v>
      </c>
      <c r="H172" s="17">
        <f>IF(B172="","",SUM($F$12:F172))</f>
        <v>0</v>
      </c>
      <c r="I172" s="17">
        <f>IF(B172="","",SUM($G$12:G172))</f>
        <v>0</v>
      </c>
      <c r="J172" s="17">
        <f t="shared" si="19"/>
        <v>0</v>
      </c>
      <c r="K172" s="18">
        <f t="shared" si="20"/>
        <v>0</v>
      </c>
      <c r="L172" s="27" t="str">
        <f t="shared" si="23"/>
        <v/>
      </c>
    </row>
    <row r="173" spans="2:12" x14ac:dyDescent="0.2">
      <c r="B173" s="15">
        <f t="shared" si="24"/>
        <v>162</v>
      </c>
      <c r="C173" s="16">
        <f t="shared" si="25"/>
        <v>14</v>
      </c>
      <c r="D173" s="17">
        <f t="shared" si="26"/>
        <v>0</v>
      </c>
      <c r="E173" s="17">
        <f t="shared" si="18"/>
        <v>0</v>
      </c>
      <c r="F173" s="17">
        <f t="shared" si="21"/>
        <v>0</v>
      </c>
      <c r="G173" s="17">
        <f t="shared" si="22"/>
        <v>0</v>
      </c>
      <c r="H173" s="17">
        <f>IF(B173="","",SUM($F$12:F173))</f>
        <v>0</v>
      </c>
      <c r="I173" s="17">
        <f>IF(B173="","",SUM($G$12:G173))</f>
        <v>0</v>
      </c>
      <c r="J173" s="17">
        <f t="shared" si="19"/>
        <v>0</v>
      </c>
      <c r="K173" s="18">
        <f t="shared" si="20"/>
        <v>0</v>
      </c>
      <c r="L173" s="27" t="str">
        <f t="shared" si="23"/>
        <v/>
      </c>
    </row>
    <row r="174" spans="2:12" x14ac:dyDescent="0.2">
      <c r="B174" s="15">
        <f t="shared" si="24"/>
        <v>163</v>
      </c>
      <c r="C174" s="16">
        <f t="shared" si="25"/>
        <v>14</v>
      </c>
      <c r="D174" s="17">
        <f t="shared" si="26"/>
        <v>0</v>
      </c>
      <c r="E174" s="17">
        <f t="shared" si="18"/>
        <v>0</v>
      </c>
      <c r="F174" s="17">
        <f t="shared" si="21"/>
        <v>0</v>
      </c>
      <c r="G174" s="17">
        <f t="shared" si="22"/>
        <v>0</v>
      </c>
      <c r="H174" s="17">
        <f>IF(B174="","",SUM($F$12:F174))</f>
        <v>0</v>
      </c>
      <c r="I174" s="17">
        <f>IF(B174="","",SUM($G$12:G174))</f>
        <v>0</v>
      </c>
      <c r="J174" s="17">
        <f t="shared" si="19"/>
        <v>0</v>
      </c>
      <c r="K174" s="18">
        <f t="shared" si="20"/>
        <v>0</v>
      </c>
      <c r="L174" s="27" t="str">
        <f t="shared" si="23"/>
        <v/>
      </c>
    </row>
    <row r="175" spans="2:12" x14ac:dyDescent="0.2">
      <c r="B175" s="15">
        <f t="shared" si="24"/>
        <v>164</v>
      </c>
      <c r="C175" s="16">
        <f t="shared" si="25"/>
        <v>14</v>
      </c>
      <c r="D175" s="17">
        <f t="shared" si="26"/>
        <v>0</v>
      </c>
      <c r="E175" s="17">
        <f t="shared" si="18"/>
        <v>0</v>
      </c>
      <c r="F175" s="17">
        <f t="shared" si="21"/>
        <v>0</v>
      </c>
      <c r="G175" s="17">
        <f t="shared" si="22"/>
        <v>0</v>
      </c>
      <c r="H175" s="17">
        <f>IF(B175="","",SUM($F$12:F175))</f>
        <v>0</v>
      </c>
      <c r="I175" s="17">
        <f>IF(B175="","",SUM($G$12:G175))</f>
        <v>0</v>
      </c>
      <c r="J175" s="17">
        <f t="shared" si="19"/>
        <v>0</v>
      </c>
      <c r="K175" s="18">
        <f t="shared" si="20"/>
        <v>0</v>
      </c>
      <c r="L175" s="27" t="str">
        <f t="shared" si="23"/>
        <v/>
      </c>
    </row>
    <row r="176" spans="2:12" x14ac:dyDescent="0.2">
      <c r="B176" s="15">
        <f t="shared" si="24"/>
        <v>165</v>
      </c>
      <c r="C176" s="16">
        <f t="shared" si="25"/>
        <v>14</v>
      </c>
      <c r="D176" s="17">
        <f t="shared" si="26"/>
        <v>0</v>
      </c>
      <c r="E176" s="17">
        <f t="shared" si="18"/>
        <v>0</v>
      </c>
      <c r="F176" s="17">
        <f t="shared" si="21"/>
        <v>0</v>
      </c>
      <c r="G176" s="17">
        <f t="shared" si="22"/>
        <v>0</v>
      </c>
      <c r="H176" s="17">
        <f>IF(B176="","",SUM($F$12:F176))</f>
        <v>0</v>
      </c>
      <c r="I176" s="17">
        <f>IF(B176="","",SUM($G$12:G176))</f>
        <v>0</v>
      </c>
      <c r="J176" s="17">
        <f t="shared" si="19"/>
        <v>0</v>
      </c>
      <c r="K176" s="18">
        <f t="shared" si="20"/>
        <v>0</v>
      </c>
      <c r="L176" s="27" t="str">
        <f t="shared" si="23"/>
        <v/>
      </c>
    </row>
    <row r="177" spans="2:12" x14ac:dyDescent="0.2">
      <c r="B177" s="15">
        <f t="shared" si="24"/>
        <v>166</v>
      </c>
      <c r="C177" s="16">
        <f t="shared" si="25"/>
        <v>14</v>
      </c>
      <c r="D177" s="17">
        <f t="shared" si="26"/>
        <v>0</v>
      </c>
      <c r="E177" s="17">
        <f t="shared" si="18"/>
        <v>0</v>
      </c>
      <c r="F177" s="17">
        <f t="shared" si="21"/>
        <v>0</v>
      </c>
      <c r="G177" s="17">
        <f t="shared" si="22"/>
        <v>0</v>
      </c>
      <c r="H177" s="17">
        <f>IF(B177="","",SUM($F$12:F177))</f>
        <v>0</v>
      </c>
      <c r="I177" s="17">
        <f>IF(B177="","",SUM($G$12:G177))</f>
        <v>0</v>
      </c>
      <c r="J177" s="17">
        <f t="shared" si="19"/>
        <v>0</v>
      </c>
      <c r="K177" s="18">
        <f t="shared" si="20"/>
        <v>0</v>
      </c>
      <c r="L177" s="27" t="str">
        <f t="shared" si="23"/>
        <v/>
      </c>
    </row>
    <row r="178" spans="2:12" x14ac:dyDescent="0.2">
      <c r="B178" s="15">
        <f t="shared" si="24"/>
        <v>167</v>
      </c>
      <c r="C178" s="16">
        <f t="shared" si="25"/>
        <v>14</v>
      </c>
      <c r="D178" s="17">
        <f t="shared" si="26"/>
        <v>0</v>
      </c>
      <c r="E178" s="17">
        <f t="shared" si="18"/>
        <v>0</v>
      </c>
      <c r="F178" s="17">
        <f t="shared" si="21"/>
        <v>0</v>
      </c>
      <c r="G178" s="17">
        <f t="shared" si="22"/>
        <v>0</v>
      </c>
      <c r="H178" s="17">
        <f>IF(B178="","",SUM($F$12:F178))</f>
        <v>0</v>
      </c>
      <c r="I178" s="17">
        <f>IF(B178="","",SUM($G$12:G178))</f>
        <v>0</v>
      </c>
      <c r="J178" s="17">
        <f t="shared" si="19"/>
        <v>0</v>
      </c>
      <c r="K178" s="18">
        <f t="shared" si="20"/>
        <v>0</v>
      </c>
      <c r="L178" s="27" t="str">
        <f t="shared" si="23"/>
        <v/>
      </c>
    </row>
    <row r="179" spans="2:12" x14ac:dyDescent="0.2">
      <c r="B179" s="15">
        <f t="shared" si="24"/>
        <v>168</v>
      </c>
      <c r="C179" s="16">
        <f t="shared" si="25"/>
        <v>14</v>
      </c>
      <c r="D179" s="17">
        <f t="shared" si="26"/>
        <v>0</v>
      </c>
      <c r="E179" s="17">
        <f t="shared" si="18"/>
        <v>0</v>
      </c>
      <c r="F179" s="17">
        <f t="shared" si="21"/>
        <v>0</v>
      </c>
      <c r="G179" s="17">
        <f t="shared" si="22"/>
        <v>0</v>
      </c>
      <c r="H179" s="17">
        <f>IF(B179="","",SUM($F$12:F179))</f>
        <v>0</v>
      </c>
      <c r="I179" s="17">
        <f>IF(B179="","",SUM($G$12:G179))</f>
        <v>0</v>
      </c>
      <c r="J179" s="17">
        <f t="shared" si="19"/>
        <v>0</v>
      </c>
      <c r="K179" s="18">
        <f t="shared" si="20"/>
        <v>0</v>
      </c>
      <c r="L179" s="27" t="str">
        <f t="shared" si="23"/>
        <v/>
      </c>
    </row>
    <row r="180" spans="2:12" x14ac:dyDescent="0.2">
      <c r="B180" s="15">
        <f t="shared" si="24"/>
        <v>169</v>
      </c>
      <c r="C180" s="16">
        <f t="shared" si="25"/>
        <v>15</v>
      </c>
      <c r="D180" s="17">
        <f t="shared" si="26"/>
        <v>0</v>
      </c>
      <c r="E180" s="17">
        <f t="shared" si="18"/>
        <v>0</v>
      </c>
      <c r="F180" s="17">
        <f t="shared" si="21"/>
        <v>0</v>
      </c>
      <c r="G180" s="17">
        <f t="shared" si="22"/>
        <v>0</v>
      </c>
      <c r="H180" s="17">
        <f>IF(B180="","",SUM($F$12:F180))</f>
        <v>0</v>
      </c>
      <c r="I180" s="17">
        <f>IF(B180="","",SUM($G$12:G180))</f>
        <v>0</v>
      </c>
      <c r="J180" s="17">
        <f t="shared" si="19"/>
        <v>0</v>
      </c>
      <c r="K180" s="18">
        <f t="shared" si="20"/>
        <v>0</v>
      </c>
      <c r="L180" s="27" t="str">
        <f t="shared" si="23"/>
        <v/>
      </c>
    </row>
    <row r="181" spans="2:12" x14ac:dyDescent="0.2">
      <c r="B181" s="15">
        <f t="shared" si="24"/>
        <v>170</v>
      </c>
      <c r="C181" s="16">
        <f t="shared" si="25"/>
        <v>15</v>
      </c>
      <c r="D181" s="17">
        <f t="shared" si="26"/>
        <v>0</v>
      </c>
      <c r="E181" s="17">
        <f t="shared" si="18"/>
        <v>0</v>
      </c>
      <c r="F181" s="17">
        <f t="shared" si="21"/>
        <v>0</v>
      </c>
      <c r="G181" s="17">
        <f t="shared" si="22"/>
        <v>0</v>
      </c>
      <c r="H181" s="17">
        <f>IF(B181="","",SUM($F$12:F181))</f>
        <v>0</v>
      </c>
      <c r="I181" s="17">
        <f>IF(B181="","",SUM($G$12:G181))</f>
        <v>0</v>
      </c>
      <c r="J181" s="17">
        <f t="shared" si="19"/>
        <v>0</v>
      </c>
      <c r="K181" s="18">
        <f t="shared" si="20"/>
        <v>0</v>
      </c>
      <c r="L181" s="27" t="str">
        <f t="shared" si="23"/>
        <v/>
      </c>
    </row>
    <row r="182" spans="2:12" x14ac:dyDescent="0.2">
      <c r="B182" s="15">
        <f t="shared" si="24"/>
        <v>171</v>
      </c>
      <c r="C182" s="16">
        <f t="shared" si="25"/>
        <v>15</v>
      </c>
      <c r="D182" s="17">
        <f t="shared" si="26"/>
        <v>0</v>
      </c>
      <c r="E182" s="17">
        <f t="shared" si="18"/>
        <v>0</v>
      </c>
      <c r="F182" s="17">
        <f t="shared" si="21"/>
        <v>0</v>
      </c>
      <c r="G182" s="17">
        <f t="shared" si="22"/>
        <v>0</v>
      </c>
      <c r="H182" s="17">
        <f>IF(B182="","",SUM($F$12:F182))</f>
        <v>0</v>
      </c>
      <c r="I182" s="17">
        <f>IF(B182="","",SUM($G$12:G182))</f>
        <v>0</v>
      </c>
      <c r="J182" s="17">
        <f t="shared" si="19"/>
        <v>0</v>
      </c>
      <c r="K182" s="18">
        <f t="shared" si="20"/>
        <v>0</v>
      </c>
      <c r="L182" s="27" t="str">
        <f t="shared" si="23"/>
        <v/>
      </c>
    </row>
    <row r="183" spans="2:12" x14ac:dyDescent="0.2">
      <c r="B183" s="15">
        <f t="shared" si="24"/>
        <v>172</v>
      </c>
      <c r="C183" s="16">
        <f t="shared" si="25"/>
        <v>15</v>
      </c>
      <c r="D183" s="17">
        <f t="shared" si="26"/>
        <v>0</v>
      </c>
      <c r="E183" s="17">
        <f t="shared" si="18"/>
        <v>0</v>
      </c>
      <c r="F183" s="17">
        <f t="shared" si="21"/>
        <v>0</v>
      </c>
      <c r="G183" s="17">
        <f t="shared" si="22"/>
        <v>0</v>
      </c>
      <c r="H183" s="17">
        <f>IF(B183="","",SUM($F$12:F183))</f>
        <v>0</v>
      </c>
      <c r="I183" s="17">
        <f>IF(B183="","",SUM($G$12:G183))</f>
        <v>0</v>
      </c>
      <c r="J183" s="17">
        <f t="shared" si="19"/>
        <v>0</v>
      </c>
      <c r="K183" s="18">
        <f t="shared" si="20"/>
        <v>0</v>
      </c>
      <c r="L183" s="27" t="str">
        <f t="shared" si="23"/>
        <v/>
      </c>
    </row>
    <row r="184" spans="2:12" x14ac:dyDescent="0.2">
      <c r="B184" s="15">
        <f t="shared" si="24"/>
        <v>173</v>
      </c>
      <c r="C184" s="16">
        <f t="shared" si="25"/>
        <v>15</v>
      </c>
      <c r="D184" s="17">
        <f t="shared" si="26"/>
        <v>0</v>
      </c>
      <c r="E184" s="17">
        <f t="shared" si="18"/>
        <v>0</v>
      </c>
      <c r="F184" s="17">
        <f t="shared" si="21"/>
        <v>0</v>
      </c>
      <c r="G184" s="17">
        <f t="shared" si="22"/>
        <v>0</v>
      </c>
      <c r="H184" s="17">
        <f>IF(B184="","",SUM($F$12:F184))</f>
        <v>0</v>
      </c>
      <c r="I184" s="17">
        <f>IF(B184="","",SUM($G$12:G184))</f>
        <v>0</v>
      </c>
      <c r="J184" s="17">
        <f t="shared" si="19"/>
        <v>0</v>
      </c>
      <c r="K184" s="18">
        <f t="shared" si="20"/>
        <v>0</v>
      </c>
      <c r="L184" s="27" t="str">
        <f t="shared" si="23"/>
        <v/>
      </c>
    </row>
    <row r="185" spans="2:12" x14ac:dyDescent="0.2">
      <c r="B185" s="15">
        <f t="shared" si="24"/>
        <v>174</v>
      </c>
      <c r="C185" s="16">
        <f t="shared" si="25"/>
        <v>15</v>
      </c>
      <c r="D185" s="17">
        <f t="shared" si="26"/>
        <v>0</v>
      </c>
      <c r="E185" s="17">
        <f t="shared" si="18"/>
        <v>0</v>
      </c>
      <c r="F185" s="17">
        <f t="shared" si="21"/>
        <v>0</v>
      </c>
      <c r="G185" s="17">
        <f t="shared" si="22"/>
        <v>0</v>
      </c>
      <c r="H185" s="17">
        <f>IF(B185="","",SUM($F$12:F185))</f>
        <v>0</v>
      </c>
      <c r="I185" s="17">
        <f>IF(B185="","",SUM($G$12:G185))</f>
        <v>0</v>
      </c>
      <c r="J185" s="17">
        <f t="shared" si="19"/>
        <v>0</v>
      </c>
      <c r="K185" s="18">
        <f t="shared" si="20"/>
        <v>0</v>
      </c>
      <c r="L185" s="27" t="str">
        <f t="shared" si="23"/>
        <v/>
      </c>
    </row>
    <row r="186" spans="2:12" x14ac:dyDescent="0.2">
      <c r="B186" s="15">
        <f t="shared" si="24"/>
        <v>175</v>
      </c>
      <c r="C186" s="16">
        <f t="shared" si="25"/>
        <v>15</v>
      </c>
      <c r="D186" s="17">
        <f t="shared" si="26"/>
        <v>0</v>
      </c>
      <c r="E186" s="17">
        <f t="shared" si="18"/>
        <v>0</v>
      </c>
      <c r="F186" s="17">
        <f t="shared" si="21"/>
        <v>0</v>
      </c>
      <c r="G186" s="17">
        <f t="shared" si="22"/>
        <v>0</v>
      </c>
      <c r="H186" s="17">
        <f>IF(B186="","",SUM($F$12:F186))</f>
        <v>0</v>
      </c>
      <c r="I186" s="17">
        <f>IF(B186="","",SUM($G$12:G186))</f>
        <v>0</v>
      </c>
      <c r="J186" s="17">
        <f t="shared" si="19"/>
        <v>0</v>
      </c>
      <c r="K186" s="18">
        <f t="shared" si="20"/>
        <v>0</v>
      </c>
      <c r="L186" s="27" t="str">
        <f t="shared" si="23"/>
        <v/>
      </c>
    </row>
    <row r="187" spans="2:12" x14ac:dyDescent="0.2">
      <c r="B187" s="15">
        <f t="shared" si="24"/>
        <v>176</v>
      </c>
      <c r="C187" s="16">
        <f t="shared" si="25"/>
        <v>15</v>
      </c>
      <c r="D187" s="17">
        <f t="shared" si="26"/>
        <v>0</v>
      </c>
      <c r="E187" s="17">
        <f t="shared" si="18"/>
        <v>0</v>
      </c>
      <c r="F187" s="17">
        <f t="shared" si="21"/>
        <v>0</v>
      </c>
      <c r="G187" s="17">
        <f t="shared" si="22"/>
        <v>0</v>
      </c>
      <c r="H187" s="17">
        <f>IF(B187="","",SUM($F$12:F187))</f>
        <v>0</v>
      </c>
      <c r="I187" s="17">
        <f>IF(B187="","",SUM($G$12:G187))</f>
        <v>0</v>
      </c>
      <c r="J187" s="17">
        <f t="shared" si="19"/>
        <v>0</v>
      </c>
      <c r="K187" s="18">
        <f t="shared" si="20"/>
        <v>0</v>
      </c>
      <c r="L187" s="27" t="str">
        <f t="shared" si="23"/>
        <v/>
      </c>
    </row>
    <row r="188" spans="2:12" x14ac:dyDescent="0.2">
      <c r="B188" s="15">
        <f t="shared" si="24"/>
        <v>177</v>
      </c>
      <c r="C188" s="16">
        <f t="shared" si="25"/>
        <v>15</v>
      </c>
      <c r="D188" s="17">
        <f t="shared" si="26"/>
        <v>0</v>
      </c>
      <c r="E188" s="17">
        <f t="shared" si="18"/>
        <v>0</v>
      </c>
      <c r="F188" s="17">
        <f t="shared" si="21"/>
        <v>0</v>
      </c>
      <c r="G188" s="17">
        <f t="shared" si="22"/>
        <v>0</v>
      </c>
      <c r="H188" s="17">
        <f>IF(B188="","",SUM($F$12:F188))</f>
        <v>0</v>
      </c>
      <c r="I188" s="17">
        <f>IF(B188="","",SUM($G$12:G188))</f>
        <v>0</v>
      </c>
      <c r="J188" s="17">
        <f t="shared" si="19"/>
        <v>0</v>
      </c>
      <c r="K188" s="18">
        <f t="shared" si="20"/>
        <v>0</v>
      </c>
      <c r="L188" s="27" t="str">
        <f t="shared" si="23"/>
        <v/>
      </c>
    </row>
    <row r="189" spans="2:12" x14ac:dyDescent="0.2">
      <c r="B189" s="15">
        <f t="shared" si="24"/>
        <v>178</v>
      </c>
      <c r="C189" s="16">
        <f t="shared" si="25"/>
        <v>15</v>
      </c>
      <c r="D189" s="17">
        <f t="shared" si="26"/>
        <v>0</v>
      </c>
      <c r="E189" s="17">
        <f t="shared" si="18"/>
        <v>0</v>
      </c>
      <c r="F189" s="17">
        <f t="shared" si="21"/>
        <v>0</v>
      </c>
      <c r="G189" s="17">
        <f t="shared" si="22"/>
        <v>0</v>
      </c>
      <c r="H189" s="17">
        <f>IF(B189="","",SUM($F$12:F189))</f>
        <v>0</v>
      </c>
      <c r="I189" s="17">
        <f>IF(B189="","",SUM($G$12:G189))</f>
        <v>0</v>
      </c>
      <c r="J189" s="17">
        <f t="shared" si="19"/>
        <v>0</v>
      </c>
      <c r="K189" s="18">
        <f t="shared" si="20"/>
        <v>0</v>
      </c>
      <c r="L189" s="27" t="str">
        <f t="shared" si="23"/>
        <v/>
      </c>
    </row>
    <row r="190" spans="2:12" x14ac:dyDescent="0.2">
      <c r="B190" s="15">
        <f t="shared" si="24"/>
        <v>179</v>
      </c>
      <c r="C190" s="16">
        <f t="shared" si="25"/>
        <v>15</v>
      </c>
      <c r="D190" s="17">
        <f t="shared" si="26"/>
        <v>0</v>
      </c>
      <c r="E190" s="17">
        <f t="shared" si="18"/>
        <v>0</v>
      </c>
      <c r="F190" s="17">
        <f t="shared" si="21"/>
        <v>0</v>
      </c>
      <c r="G190" s="17">
        <f t="shared" si="22"/>
        <v>0</v>
      </c>
      <c r="H190" s="17">
        <f>IF(B190="","",SUM($F$12:F190))</f>
        <v>0</v>
      </c>
      <c r="I190" s="17">
        <f>IF(B190="","",SUM($G$12:G190))</f>
        <v>0</v>
      </c>
      <c r="J190" s="17">
        <f t="shared" si="19"/>
        <v>0</v>
      </c>
      <c r="K190" s="18">
        <f t="shared" si="20"/>
        <v>0</v>
      </c>
      <c r="L190" s="27" t="str">
        <f t="shared" si="23"/>
        <v/>
      </c>
    </row>
    <row r="191" spans="2:12" x14ac:dyDescent="0.2">
      <c r="B191" s="15">
        <f t="shared" si="24"/>
        <v>180</v>
      </c>
      <c r="C191" s="16">
        <f t="shared" si="25"/>
        <v>15</v>
      </c>
      <c r="D191" s="17">
        <f t="shared" si="26"/>
        <v>0</v>
      </c>
      <c r="E191" s="17">
        <f t="shared" si="18"/>
        <v>0</v>
      </c>
      <c r="F191" s="17">
        <f t="shared" si="21"/>
        <v>0</v>
      </c>
      <c r="G191" s="17">
        <f t="shared" si="22"/>
        <v>0</v>
      </c>
      <c r="H191" s="17">
        <f>IF(B191="","",SUM($F$12:F191))</f>
        <v>0</v>
      </c>
      <c r="I191" s="17">
        <f>IF(B191="","",SUM($G$12:G191))</f>
        <v>0</v>
      </c>
      <c r="J191" s="17">
        <f t="shared" si="19"/>
        <v>0</v>
      </c>
      <c r="K191" s="18">
        <f t="shared" si="20"/>
        <v>0</v>
      </c>
      <c r="L191" s="27" t="e">
        <f t="shared" si="23"/>
        <v>#DIV/0!</v>
      </c>
    </row>
    <row r="192" spans="2:12" x14ac:dyDescent="0.2">
      <c r="B192" s="15" t="str">
        <f t="shared" si="24"/>
        <v/>
      </c>
      <c r="C192" s="16" t="str">
        <f t="shared" si="25"/>
        <v/>
      </c>
      <c r="D192" s="17" t="str">
        <f t="shared" si="26"/>
        <v/>
      </c>
      <c r="E192" s="17" t="str">
        <f t="shared" si="18"/>
        <v/>
      </c>
      <c r="F192" s="17" t="str">
        <f t="shared" si="21"/>
        <v/>
      </c>
      <c r="G192" s="17" t="str">
        <f t="shared" si="22"/>
        <v/>
      </c>
      <c r="H192" s="17" t="str">
        <f>IF(B192="","",SUM($F$12:F192))</f>
        <v/>
      </c>
      <c r="I192" s="17" t="str">
        <f>IF(B192="","",SUM($G$12:G192))</f>
        <v/>
      </c>
      <c r="J192" s="17" t="str">
        <f t="shared" si="19"/>
        <v/>
      </c>
      <c r="K192" s="18" t="str">
        <f t="shared" si="20"/>
        <v/>
      </c>
      <c r="L192" s="27" t="str">
        <f t="shared" si="23"/>
        <v/>
      </c>
    </row>
    <row r="193" spans="2:12" x14ac:dyDescent="0.2">
      <c r="B193" s="15" t="str">
        <f t="shared" si="24"/>
        <v/>
      </c>
      <c r="C193" s="16" t="str">
        <f t="shared" si="25"/>
        <v/>
      </c>
      <c r="D193" s="17" t="str">
        <f t="shared" si="26"/>
        <v/>
      </c>
      <c r="E193" s="17" t="str">
        <f t="shared" ref="E193:E256" si="27">IF(B193="","",PMT($H$9/12,$K$9*12,-$D$9))</f>
        <v/>
      </c>
      <c r="F193" s="17" t="str">
        <f t="shared" si="21"/>
        <v/>
      </c>
      <c r="G193" s="17" t="str">
        <f t="shared" si="22"/>
        <v/>
      </c>
      <c r="H193" s="17" t="str">
        <f>IF(B193="","",SUM($F$12:F193))</f>
        <v/>
      </c>
      <c r="I193" s="17" t="str">
        <f>IF(B193="","",SUM($G$12:G193))</f>
        <v/>
      </c>
      <c r="J193" s="17" t="str">
        <f t="shared" ref="J193:J256" si="28">IF(B193="","",$E$12*B193)</f>
        <v/>
      </c>
      <c r="K193" s="18" t="str">
        <f t="shared" ref="K193:K256" si="29">IF(B193="","",D193-G193)</f>
        <v/>
      </c>
      <c r="L193" s="27" t="str">
        <f t="shared" si="23"/>
        <v/>
      </c>
    </row>
    <row r="194" spans="2:12" x14ac:dyDescent="0.2">
      <c r="B194" s="15" t="str">
        <f t="shared" si="24"/>
        <v/>
      </c>
      <c r="C194" s="16" t="str">
        <f t="shared" si="25"/>
        <v/>
      </c>
      <c r="D194" s="17" t="str">
        <f t="shared" si="26"/>
        <v/>
      </c>
      <c r="E194" s="17" t="str">
        <f t="shared" si="27"/>
        <v/>
      </c>
      <c r="F194" s="17" t="str">
        <f t="shared" si="21"/>
        <v/>
      </c>
      <c r="G194" s="17" t="str">
        <f t="shared" si="22"/>
        <v/>
      </c>
      <c r="H194" s="17" t="str">
        <f>IF(B194="","",SUM($F$12:F194))</f>
        <v/>
      </c>
      <c r="I194" s="17" t="str">
        <f>IF(B194="","",SUM($G$12:G194))</f>
        <v/>
      </c>
      <c r="J194" s="17" t="str">
        <f t="shared" si="28"/>
        <v/>
      </c>
      <c r="K194" s="18" t="str">
        <f t="shared" si="29"/>
        <v/>
      </c>
      <c r="L194" s="27" t="str">
        <f t="shared" si="23"/>
        <v/>
      </c>
    </row>
    <row r="195" spans="2:12" x14ac:dyDescent="0.2">
      <c r="B195" s="15" t="str">
        <f t="shared" si="24"/>
        <v/>
      </c>
      <c r="C195" s="16" t="str">
        <f t="shared" si="25"/>
        <v/>
      </c>
      <c r="D195" s="17" t="str">
        <f t="shared" si="26"/>
        <v/>
      </c>
      <c r="E195" s="17" t="str">
        <f t="shared" si="27"/>
        <v/>
      </c>
      <c r="F195" s="17" t="str">
        <f t="shared" si="21"/>
        <v/>
      </c>
      <c r="G195" s="17" t="str">
        <f t="shared" si="22"/>
        <v/>
      </c>
      <c r="H195" s="17" t="str">
        <f>IF(B195="","",SUM($F$12:F195))</f>
        <v/>
      </c>
      <c r="I195" s="17" t="str">
        <f>IF(B195="","",SUM($G$12:G195))</f>
        <v/>
      </c>
      <c r="J195" s="17" t="str">
        <f t="shared" si="28"/>
        <v/>
      </c>
      <c r="K195" s="18" t="str">
        <f t="shared" si="29"/>
        <v/>
      </c>
      <c r="L195" s="27" t="str">
        <f t="shared" si="23"/>
        <v/>
      </c>
    </row>
    <row r="196" spans="2:12" x14ac:dyDescent="0.2">
      <c r="B196" s="15" t="str">
        <f t="shared" si="24"/>
        <v/>
      </c>
      <c r="C196" s="16" t="str">
        <f t="shared" si="25"/>
        <v/>
      </c>
      <c r="D196" s="17" t="str">
        <f t="shared" si="26"/>
        <v/>
      </c>
      <c r="E196" s="17" t="str">
        <f t="shared" si="27"/>
        <v/>
      </c>
      <c r="F196" s="17" t="str">
        <f t="shared" si="21"/>
        <v/>
      </c>
      <c r="G196" s="17" t="str">
        <f t="shared" si="22"/>
        <v/>
      </c>
      <c r="H196" s="17" t="str">
        <f>IF(B196="","",SUM($F$12:F196))</f>
        <v/>
      </c>
      <c r="I196" s="17" t="str">
        <f>IF(B196="","",SUM($G$12:G196))</f>
        <v/>
      </c>
      <c r="J196" s="17" t="str">
        <f t="shared" si="28"/>
        <v/>
      </c>
      <c r="K196" s="18" t="str">
        <f t="shared" si="29"/>
        <v/>
      </c>
      <c r="L196" s="27" t="str">
        <f t="shared" si="23"/>
        <v/>
      </c>
    </row>
    <row r="197" spans="2:12" x14ac:dyDescent="0.2">
      <c r="B197" s="15" t="str">
        <f t="shared" si="24"/>
        <v/>
      </c>
      <c r="C197" s="16" t="str">
        <f t="shared" si="25"/>
        <v/>
      </c>
      <c r="D197" s="17" t="str">
        <f t="shared" si="26"/>
        <v/>
      </c>
      <c r="E197" s="17" t="str">
        <f t="shared" si="27"/>
        <v/>
      </c>
      <c r="F197" s="17" t="str">
        <f t="shared" si="21"/>
        <v/>
      </c>
      <c r="G197" s="17" t="str">
        <f t="shared" si="22"/>
        <v/>
      </c>
      <c r="H197" s="17" t="str">
        <f>IF(B197="","",SUM($F$12:F197))</f>
        <v/>
      </c>
      <c r="I197" s="17" t="str">
        <f>IF(B197="","",SUM($G$12:G197))</f>
        <v/>
      </c>
      <c r="J197" s="17" t="str">
        <f t="shared" si="28"/>
        <v/>
      </c>
      <c r="K197" s="18" t="str">
        <f t="shared" si="29"/>
        <v/>
      </c>
      <c r="L197" s="27" t="str">
        <f t="shared" si="23"/>
        <v/>
      </c>
    </row>
    <row r="198" spans="2:12" x14ac:dyDescent="0.2">
      <c r="B198" s="15" t="str">
        <f t="shared" si="24"/>
        <v/>
      </c>
      <c r="C198" s="16" t="str">
        <f t="shared" si="25"/>
        <v/>
      </c>
      <c r="D198" s="17" t="str">
        <f t="shared" si="26"/>
        <v/>
      </c>
      <c r="E198" s="17" t="str">
        <f t="shared" si="27"/>
        <v/>
      </c>
      <c r="F198" s="17" t="str">
        <f t="shared" si="21"/>
        <v/>
      </c>
      <c r="G198" s="17" t="str">
        <f t="shared" si="22"/>
        <v/>
      </c>
      <c r="H198" s="17" t="str">
        <f>IF(B198="","",SUM($F$12:F198))</f>
        <v/>
      </c>
      <c r="I198" s="17" t="str">
        <f>IF(B198="","",SUM($G$12:G198))</f>
        <v/>
      </c>
      <c r="J198" s="17" t="str">
        <f t="shared" si="28"/>
        <v/>
      </c>
      <c r="K198" s="18" t="str">
        <f t="shared" si="29"/>
        <v/>
      </c>
      <c r="L198" s="27" t="str">
        <f t="shared" si="23"/>
        <v/>
      </c>
    </row>
    <row r="199" spans="2:12" x14ac:dyDescent="0.2">
      <c r="B199" s="15" t="str">
        <f t="shared" si="24"/>
        <v/>
      </c>
      <c r="C199" s="16" t="str">
        <f t="shared" si="25"/>
        <v/>
      </c>
      <c r="D199" s="17" t="str">
        <f t="shared" si="26"/>
        <v/>
      </c>
      <c r="E199" s="17" t="str">
        <f t="shared" si="27"/>
        <v/>
      </c>
      <c r="F199" s="17" t="str">
        <f t="shared" si="21"/>
        <v/>
      </c>
      <c r="G199" s="17" t="str">
        <f t="shared" si="22"/>
        <v/>
      </c>
      <c r="H199" s="17" t="str">
        <f>IF(B199="","",SUM($F$12:F199))</f>
        <v/>
      </c>
      <c r="I199" s="17" t="str">
        <f>IF(B199="","",SUM($G$12:G199))</f>
        <v/>
      </c>
      <c r="J199" s="17" t="str">
        <f t="shared" si="28"/>
        <v/>
      </c>
      <c r="K199" s="18" t="str">
        <f t="shared" si="29"/>
        <v/>
      </c>
      <c r="L199" s="27" t="str">
        <f t="shared" si="23"/>
        <v/>
      </c>
    </row>
    <row r="200" spans="2:12" x14ac:dyDescent="0.2">
      <c r="B200" s="15" t="str">
        <f t="shared" si="24"/>
        <v/>
      </c>
      <c r="C200" s="16" t="str">
        <f t="shared" si="25"/>
        <v/>
      </c>
      <c r="D200" s="17" t="str">
        <f t="shared" si="26"/>
        <v/>
      </c>
      <c r="E200" s="17" t="str">
        <f t="shared" si="27"/>
        <v/>
      </c>
      <c r="F200" s="17" t="str">
        <f t="shared" si="21"/>
        <v/>
      </c>
      <c r="G200" s="17" t="str">
        <f t="shared" si="22"/>
        <v/>
      </c>
      <c r="H200" s="17" t="str">
        <f>IF(B200="","",SUM($F$12:F200))</f>
        <v/>
      </c>
      <c r="I200" s="17" t="str">
        <f>IF(B200="","",SUM($G$12:G200))</f>
        <v/>
      </c>
      <c r="J200" s="17" t="str">
        <f t="shared" si="28"/>
        <v/>
      </c>
      <c r="K200" s="18" t="str">
        <f t="shared" si="29"/>
        <v/>
      </c>
      <c r="L200" s="27" t="str">
        <f t="shared" si="23"/>
        <v/>
      </c>
    </row>
    <row r="201" spans="2:12" x14ac:dyDescent="0.2">
      <c r="B201" s="15" t="str">
        <f t="shared" si="24"/>
        <v/>
      </c>
      <c r="C201" s="16" t="str">
        <f t="shared" si="25"/>
        <v/>
      </c>
      <c r="D201" s="17" t="str">
        <f t="shared" si="26"/>
        <v/>
      </c>
      <c r="E201" s="17" t="str">
        <f t="shared" si="27"/>
        <v/>
      </c>
      <c r="F201" s="17" t="str">
        <f t="shared" si="21"/>
        <v/>
      </c>
      <c r="G201" s="17" t="str">
        <f t="shared" si="22"/>
        <v/>
      </c>
      <c r="H201" s="17" t="str">
        <f>IF(B201="","",SUM($F$12:F201))</f>
        <v/>
      </c>
      <c r="I201" s="17" t="str">
        <f>IF(B201="","",SUM($G$12:G201))</f>
        <v/>
      </c>
      <c r="J201" s="17" t="str">
        <f t="shared" si="28"/>
        <v/>
      </c>
      <c r="K201" s="18" t="str">
        <f t="shared" si="29"/>
        <v/>
      </c>
      <c r="L201" s="27" t="str">
        <f t="shared" si="23"/>
        <v/>
      </c>
    </row>
    <row r="202" spans="2:12" x14ac:dyDescent="0.2">
      <c r="B202" s="15" t="str">
        <f t="shared" si="24"/>
        <v/>
      </c>
      <c r="C202" s="16" t="str">
        <f t="shared" si="25"/>
        <v/>
      </c>
      <c r="D202" s="17" t="str">
        <f t="shared" si="26"/>
        <v/>
      </c>
      <c r="E202" s="17" t="str">
        <f t="shared" si="27"/>
        <v/>
      </c>
      <c r="F202" s="17" t="str">
        <f t="shared" si="21"/>
        <v/>
      </c>
      <c r="G202" s="17" t="str">
        <f t="shared" si="22"/>
        <v/>
      </c>
      <c r="H202" s="17" t="str">
        <f>IF(B202="","",SUM($F$12:F202))</f>
        <v/>
      </c>
      <c r="I202" s="17" t="str">
        <f>IF(B202="","",SUM($G$12:G202))</f>
        <v/>
      </c>
      <c r="J202" s="17" t="str">
        <f t="shared" si="28"/>
        <v/>
      </c>
      <c r="K202" s="18" t="str">
        <f t="shared" si="29"/>
        <v/>
      </c>
      <c r="L202" s="27" t="str">
        <f t="shared" si="23"/>
        <v/>
      </c>
    </row>
    <row r="203" spans="2:12" x14ac:dyDescent="0.2">
      <c r="B203" s="15" t="str">
        <f t="shared" si="24"/>
        <v/>
      </c>
      <c r="C203" s="16" t="str">
        <f t="shared" si="25"/>
        <v/>
      </c>
      <c r="D203" s="17" t="str">
        <f t="shared" si="26"/>
        <v/>
      </c>
      <c r="E203" s="17" t="str">
        <f t="shared" si="27"/>
        <v/>
      </c>
      <c r="F203" s="17" t="str">
        <f t="shared" si="21"/>
        <v/>
      </c>
      <c r="G203" s="17" t="str">
        <f t="shared" si="22"/>
        <v/>
      </c>
      <c r="H203" s="17" t="str">
        <f>IF(B203="","",SUM($F$12:F203))</f>
        <v/>
      </c>
      <c r="I203" s="17" t="str">
        <f>IF(B203="","",SUM($G$12:G203))</f>
        <v/>
      </c>
      <c r="J203" s="17" t="str">
        <f t="shared" si="28"/>
        <v/>
      </c>
      <c r="K203" s="18" t="str">
        <f t="shared" si="29"/>
        <v/>
      </c>
      <c r="L203" s="27" t="str">
        <f t="shared" si="23"/>
        <v/>
      </c>
    </row>
    <row r="204" spans="2:12" x14ac:dyDescent="0.2">
      <c r="B204" s="15" t="str">
        <f t="shared" si="24"/>
        <v/>
      </c>
      <c r="C204" s="16" t="str">
        <f t="shared" si="25"/>
        <v/>
      </c>
      <c r="D204" s="17" t="str">
        <f t="shared" si="26"/>
        <v/>
      </c>
      <c r="E204" s="17" t="str">
        <f t="shared" si="27"/>
        <v/>
      </c>
      <c r="F204" s="17" t="str">
        <f t="shared" si="21"/>
        <v/>
      </c>
      <c r="G204" s="17" t="str">
        <f t="shared" si="22"/>
        <v/>
      </c>
      <c r="H204" s="17" t="str">
        <f>IF(B204="","",SUM($F$12:F204))</f>
        <v/>
      </c>
      <c r="I204" s="17" t="str">
        <f>IF(B204="","",SUM($G$12:G204))</f>
        <v/>
      </c>
      <c r="J204" s="17" t="str">
        <f t="shared" si="28"/>
        <v/>
      </c>
      <c r="K204" s="18" t="str">
        <f t="shared" si="29"/>
        <v/>
      </c>
      <c r="L204" s="27" t="str">
        <f t="shared" si="23"/>
        <v/>
      </c>
    </row>
    <row r="205" spans="2:12" x14ac:dyDescent="0.2">
      <c r="B205" s="15" t="str">
        <f t="shared" si="24"/>
        <v/>
      </c>
      <c r="C205" s="16" t="str">
        <f t="shared" si="25"/>
        <v/>
      </c>
      <c r="D205" s="17" t="str">
        <f t="shared" si="26"/>
        <v/>
      </c>
      <c r="E205" s="17" t="str">
        <f t="shared" si="27"/>
        <v/>
      </c>
      <c r="F205" s="17" t="str">
        <f t="shared" ref="F205:F268" si="30">IF(B205="","",IPMT($H$9/12,B205,$K$9*12,-$D$9))</f>
        <v/>
      </c>
      <c r="G205" s="17" t="str">
        <f t="shared" ref="G205:G268" si="31">IF(B205="","",PPMT($H$9/12,B205,$K$9*12,-$D$9))</f>
        <v/>
      </c>
      <c r="H205" s="17" t="str">
        <f>IF(B205="","",SUM($F$12:F205))</f>
        <v/>
      </c>
      <c r="I205" s="17" t="str">
        <f>IF(B205="","",SUM($G$12:G205))</f>
        <v/>
      </c>
      <c r="J205" s="17" t="str">
        <f t="shared" si="28"/>
        <v/>
      </c>
      <c r="K205" s="18" t="str">
        <f t="shared" si="29"/>
        <v/>
      </c>
      <c r="L205" s="27" t="str">
        <f t="shared" ref="L205:L268" si="32">IF(B205=$K$9*12,J205/$D$9,"")</f>
        <v/>
      </c>
    </row>
    <row r="206" spans="2:12" x14ac:dyDescent="0.2">
      <c r="B206" s="15" t="str">
        <f t="shared" ref="B206:B269" si="33">IF(ROW()-11&gt;$K$9*12,"",ROW()-11)</f>
        <v/>
      </c>
      <c r="C206" s="16" t="str">
        <f t="shared" ref="C206:C269" si="34">IF(B206="","",ROUNDUP(B206/12,0))</f>
        <v/>
      </c>
      <c r="D206" s="17" t="str">
        <f t="shared" ref="D206:D269" si="35">IF(B206="","",K205)</f>
        <v/>
      </c>
      <c r="E206" s="17" t="str">
        <f t="shared" si="27"/>
        <v/>
      </c>
      <c r="F206" s="17" t="str">
        <f t="shared" si="30"/>
        <v/>
      </c>
      <c r="G206" s="17" t="str">
        <f t="shared" si="31"/>
        <v/>
      </c>
      <c r="H206" s="17" t="str">
        <f>IF(B206="","",SUM($F$12:F206))</f>
        <v/>
      </c>
      <c r="I206" s="17" t="str">
        <f>IF(B206="","",SUM($G$12:G206))</f>
        <v/>
      </c>
      <c r="J206" s="17" t="str">
        <f t="shared" si="28"/>
        <v/>
      </c>
      <c r="K206" s="18" t="str">
        <f t="shared" si="29"/>
        <v/>
      </c>
      <c r="L206" s="27" t="str">
        <f t="shared" si="32"/>
        <v/>
      </c>
    </row>
    <row r="207" spans="2:12" x14ac:dyDescent="0.2">
      <c r="B207" s="15" t="str">
        <f t="shared" si="33"/>
        <v/>
      </c>
      <c r="C207" s="16" t="str">
        <f t="shared" si="34"/>
        <v/>
      </c>
      <c r="D207" s="17" t="str">
        <f t="shared" si="35"/>
        <v/>
      </c>
      <c r="E207" s="17" t="str">
        <f t="shared" si="27"/>
        <v/>
      </c>
      <c r="F207" s="17" t="str">
        <f t="shared" si="30"/>
        <v/>
      </c>
      <c r="G207" s="17" t="str">
        <f t="shared" si="31"/>
        <v/>
      </c>
      <c r="H207" s="17" t="str">
        <f>IF(B207="","",SUM($F$12:F207))</f>
        <v/>
      </c>
      <c r="I207" s="17" t="str">
        <f>IF(B207="","",SUM($G$12:G207))</f>
        <v/>
      </c>
      <c r="J207" s="17" t="str">
        <f t="shared" si="28"/>
        <v/>
      </c>
      <c r="K207" s="18" t="str">
        <f t="shared" si="29"/>
        <v/>
      </c>
      <c r="L207" s="27" t="str">
        <f t="shared" si="32"/>
        <v/>
      </c>
    </row>
    <row r="208" spans="2:12" x14ac:dyDescent="0.2">
      <c r="B208" s="15" t="str">
        <f t="shared" si="33"/>
        <v/>
      </c>
      <c r="C208" s="16" t="str">
        <f t="shared" si="34"/>
        <v/>
      </c>
      <c r="D208" s="17" t="str">
        <f t="shared" si="35"/>
        <v/>
      </c>
      <c r="E208" s="17" t="str">
        <f t="shared" si="27"/>
        <v/>
      </c>
      <c r="F208" s="17" t="str">
        <f t="shared" si="30"/>
        <v/>
      </c>
      <c r="G208" s="17" t="str">
        <f t="shared" si="31"/>
        <v/>
      </c>
      <c r="H208" s="17" t="str">
        <f>IF(B208="","",SUM($F$12:F208))</f>
        <v/>
      </c>
      <c r="I208" s="17" t="str">
        <f>IF(B208="","",SUM($G$12:G208))</f>
        <v/>
      </c>
      <c r="J208" s="17" t="str">
        <f t="shared" si="28"/>
        <v/>
      </c>
      <c r="K208" s="18" t="str">
        <f t="shared" si="29"/>
        <v/>
      </c>
      <c r="L208" s="27" t="str">
        <f t="shared" si="32"/>
        <v/>
      </c>
    </row>
    <row r="209" spans="2:12" x14ac:dyDescent="0.2">
      <c r="B209" s="15" t="str">
        <f t="shared" si="33"/>
        <v/>
      </c>
      <c r="C209" s="16" t="str">
        <f t="shared" si="34"/>
        <v/>
      </c>
      <c r="D209" s="17" t="str">
        <f t="shared" si="35"/>
        <v/>
      </c>
      <c r="E209" s="17" t="str">
        <f t="shared" si="27"/>
        <v/>
      </c>
      <c r="F209" s="17" t="str">
        <f t="shared" si="30"/>
        <v/>
      </c>
      <c r="G209" s="17" t="str">
        <f t="shared" si="31"/>
        <v/>
      </c>
      <c r="H209" s="17" t="str">
        <f>IF(B209="","",SUM($F$12:F209))</f>
        <v/>
      </c>
      <c r="I209" s="17" t="str">
        <f>IF(B209="","",SUM($G$12:G209))</f>
        <v/>
      </c>
      <c r="J209" s="17" t="str">
        <f t="shared" si="28"/>
        <v/>
      </c>
      <c r="K209" s="18" t="str">
        <f t="shared" si="29"/>
        <v/>
      </c>
      <c r="L209" s="27" t="str">
        <f t="shared" si="32"/>
        <v/>
      </c>
    </row>
    <row r="210" spans="2:12" x14ac:dyDescent="0.2">
      <c r="B210" s="15" t="str">
        <f t="shared" si="33"/>
        <v/>
      </c>
      <c r="C210" s="16" t="str">
        <f t="shared" si="34"/>
        <v/>
      </c>
      <c r="D210" s="17" t="str">
        <f t="shared" si="35"/>
        <v/>
      </c>
      <c r="E210" s="17" t="str">
        <f t="shared" si="27"/>
        <v/>
      </c>
      <c r="F210" s="17" t="str">
        <f t="shared" si="30"/>
        <v/>
      </c>
      <c r="G210" s="17" t="str">
        <f t="shared" si="31"/>
        <v/>
      </c>
      <c r="H210" s="17" t="str">
        <f>IF(B210="","",SUM($F$12:F210))</f>
        <v/>
      </c>
      <c r="I210" s="17" t="str">
        <f>IF(B210="","",SUM($G$12:G210))</f>
        <v/>
      </c>
      <c r="J210" s="17" t="str">
        <f t="shared" si="28"/>
        <v/>
      </c>
      <c r="K210" s="18" t="str">
        <f t="shared" si="29"/>
        <v/>
      </c>
      <c r="L210" s="27" t="str">
        <f t="shared" si="32"/>
        <v/>
      </c>
    </row>
    <row r="211" spans="2:12" x14ac:dyDescent="0.2">
      <c r="B211" s="15" t="str">
        <f t="shared" si="33"/>
        <v/>
      </c>
      <c r="C211" s="16" t="str">
        <f t="shared" si="34"/>
        <v/>
      </c>
      <c r="D211" s="17" t="str">
        <f t="shared" si="35"/>
        <v/>
      </c>
      <c r="E211" s="17" t="str">
        <f t="shared" si="27"/>
        <v/>
      </c>
      <c r="F211" s="17" t="str">
        <f t="shared" si="30"/>
        <v/>
      </c>
      <c r="G211" s="17" t="str">
        <f t="shared" si="31"/>
        <v/>
      </c>
      <c r="H211" s="17" t="str">
        <f>IF(B211="","",SUM($F$12:F211))</f>
        <v/>
      </c>
      <c r="I211" s="17" t="str">
        <f>IF(B211="","",SUM($G$12:G211))</f>
        <v/>
      </c>
      <c r="J211" s="17" t="str">
        <f t="shared" si="28"/>
        <v/>
      </c>
      <c r="K211" s="18" t="str">
        <f t="shared" si="29"/>
        <v/>
      </c>
      <c r="L211" s="27" t="str">
        <f t="shared" si="32"/>
        <v/>
      </c>
    </row>
    <row r="212" spans="2:12" x14ac:dyDescent="0.2">
      <c r="B212" s="15" t="str">
        <f t="shared" si="33"/>
        <v/>
      </c>
      <c r="C212" s="16" t="str">
        <f t="shared" si="34"/>
        <v/>
      </c>
      <c r="D212" s="17" t="str">
        <f t="shared" si="35"/>
        <v/>
      </c>
      <c r="E212" s="17" t="str">
        <f t="shared" si="27"/>
        <v/>
      </c>
      <c r="F212" s="17" t="str">
        <f t="shared" si="30"/>
        <v/>
      </c>
      <c r="G212" s="17" t="str">
        <f t="shared" si="31"/>
        <v/>
      </c>
      <c r="H212" s="17" t="str">
        <f>IF(B212="","",SUM($F$12:F212))</f>
        <v/>
      </c>
      <c r="I212" s="17" t="str">
        <f>IF(B212="","",SUM($G$12:G212))</f>
        <v/>
      </c>
      <c r="J212" s="17" t="str">
        <f t="shared" si="28"/>
        <v/>
      </c>
      <c r="K212" s="18" t="str">
        <f t="shared" si="29"/>
        <v/>
      </c>
      <c r="L212" s="27" t="str">
        <f t="shared" si="32"/>
        <v/>
      </c>
    </row>
    <row r="213" spans="2:12" x14ac:dyDescent="0.2">
      <c r="B213" s="15" t="str">
        <f t="shared" si="33"/>
        <v/>
      </c>
      <c r="C213" s="16" t="str">
        <f t="shared" si="34"/>
        <v/>
      </c>
      <c r="D213" s="17" t="str">
        <f t="shared" si="35"/>
        <v/>
      </c>
      <c r="E213" s="17" t="str">
        <f t="shared" si="27"/>
        <v/>
      </c>
      <c r="F213" s="17" t="str">
        <f t="shared" si="30"/>
        <v/>
      </c>
      <c r="G213" s="17" t="str">
        <f t="shared" si="31"/>
        <v/>
      </c>
      <c r="H213" s="17" t="str">
        <f>IF(B213="","",SUM($F$12:F213))</f>
        <v/>
      </c>
      <c r="I213" s="17" t="str">
        <f>IF(B213="","",SUM($G$12:G213))</f>
        <v/>
      </c>
      <c r="J213" s="17" t="str">
        <f t="shared" si="28"/>
        <v/>
      </c>
      <c r="K213" s="18" t="str">
        <f t="shared" si="29"/>
        <v/>
      </c>
      <c r="L213" s="27" t="str">
        <f t="shared" si="32"/>
        <v/>
      </c>
    </row>
    <row r="214" spans="2:12" x14ac:dyDescent="0.2">
      <c r="B214" s="15" t="str">
        <f t="shared" si="33"/>
        <v/>
      </c>
      <c r="C214" s="16" t="str">
        <f t="shared" si="34"/>
        <v/>
      </c>
      <c r="D214" s="17" t="str">
        <f t="shared" si="35"/>
        <v/>
      </c>
      <c r="E214" s="17" t="str">
        <f t="shared" si="27"/>
        <v/>
      </c>
      <c r="F214" s="17" t="str">
        <f t="shared" si="30"/>
        <v/>
      </c>
      <c r="G214" s="17" t="str">
        <f t="shared" si="31"/>
        <v/>
      </c>
      <c r="H214" s="17" t="str">
        <f>IF(B214="","",SUM($F$12:F214))</f>
        <v/>
      </c>
      <c r="I214" s="17" t="str">
        <f>IF(B214="","",SUM($G$12:G214))</f>
        <v/>
      </c>
      <c r="J214" s="17" t="str">
        <f t="shared" si="28"/>
        <v/>
      </c>
      <c r="K214" s="18" t="str">
        <f t="shared" si="29"/>
        <v/>
      </c>
      <c r="L214" s="27" t="str">
        <f t="shared" si="32"/>
        <v/>
      </c>
    </row>
    <row r="215" spans="2:12" x14ac:dyDescent="0.2">
      <c r="B215" s="15" t="str">
        <f t="shared" si="33"/>
        <v/>
      </c>
      <c r="C215" s="16" t="str">
        <f t="shared" si="34"/>
        <v/>
      </c>
      <c r="D215" s="17" t="str">
        <f t="shared" si="35"/>
        <v/>
      </c>
      <c r="E215" s="17" t="str">
        <f t="shared" si="27"/>
        <v/>
      </c>
      <c r="F215" s="17" t="str">
        <f t="shared" si="30"/>
        <v/>
      </c>
      <c r="G215" s="17" t="str">
        <f t="shared" si="31"/>
        <v/>
      </c>
      <c r="H215" s="17" t="str">
        <f>IF(B215="","",SUM($F$12:F215))</f>
        <v/>
      </c>
      <c r="I215" s="17" t="str">
        <f>IF(B215="","",SUM($G$12:G215))</f>
        <v/>
      </c>
      <c r="J215" s="17" t="str">
        <f t="shared" si="28"/>
        <v/>
      </c>
      <c r="K215" s="18" t="str">
        <f t="shared" si="29"/>
        <v/>
      </c>
      <c r="L215" s="27" t="str">
        <f t="shared" si="32"/>
        <v/>
      </c>
    </row>
    <row r="216" spans="2:12" x14ac:dyDescent="0.2">
      <c r="B216" s="15" t="str">
        <f t="shared" si="33"/>
        <v/>
      </c>
      <c r="C216" s="16" t="str">
        <f t="shared" si="34"/>
        <v/>
      </c>
      <c r="D216" s="17" t="str">
        <f t="shared" si="35"/>
        <v/>
      </c>
      <c r="E216" s="17" t="str">
        <f t="shared" si="27"/>
        <v/>
      </c>
      <c r="F216" s="17" t="str">
        <f t="shared" si="30"/>
        <v/>
      </c>
      <c r="G216" s="17" t="str">
        <f t="shared" si="31"/>
        <v/>
      </c>
      <c r="H216" s="17" t="str">
        <f>IF(B216="","",SUM($F$12:F216))</f>
        <v/>
      </c>
      <c r="I216" s="17" t="str">
        <f>IF(B216="","",SUM($G$12:G216))</f>
        <v/>
      </c>
      <c r="J216" s="17" t="str">
        <f t="shared" si="28"/>
        <v/>
      </c>
      <c r="K216" s="18" t="str">
        <f t="shared" si="29"/>
        <v/>
      </c>
      <c r="L216" s="27" t="str">
        <f t="shared" si="32"/>
        <v/>
      </c>
    </row>
    <row r="217" spans="2:12" x14ac:dyDescent="0.2">
      <c r="B217" s="15" t="str">
        <f t="shared" si="33"/>
        <v/>
      </c>
      <c r="C217" s="16" t="str">
        <f t="shared" si="34"/>
        <v/>
      </c>
      <c r="D217" s="17" t="str">
        <f t="shared" si="35"/>
        <v/>
      </c>
      <c r="E217" s="17" t="str">
        <f t="shared" si="27"/>
        <v/>
      </c>
      <c r="F217" s="17" t="str">
        <f t="shared" si="30"/>
        <v/>
      </c>
      <c r="G217" s="17" t="str">
        <f t="shared" si="31"/>
        <v/>
      </c>
      <c r="H217" s="17" t="str">
        <f>IF(B217="","",SUM($F$12:F217))</f>
        <v/>
      </c>
      <c r="I217" s="17" t="str">
        <f>IF(B217="","",SUM($G$12:G217))</f>
        <v/>
      </c>
      <c r="J217" s="17" t="str">
        <f t="shared" si="28"/>
        <v/>
      </c>
      <c r="K217" s="18" t="str">
        <f t="shared" si="29"/>
        <v/>
      </c>
      <c r="L217" s="27" t="str">
        <f t="shared" si="32"/>
        <v/>
      </c>
    </row>
    <row r="218" spans="2:12" x14ac:dyDescent="0.2">
      <c r="B218" s="15" t="str">
        <f t="shared" si="33"/>
        <v/>
      </c>
      <c r="C218" s="16" t="str">
        <f t="shared" si="34"/>
        <v/>
      </c>
      <c r="D218" s="17" t="str">
        <f t="shared" si="35"/>
        <v/>
      </c>
      <c r="E218" s="17" t="str">
        <f t="shared" si="27"/>
        <v/>
      </c>
      <c r="F218" s="17" t="str">
        <f t="shared" si="30"/>
        <v/>
      </c>
      <c r="G218" s="17" t="str">
        <f t="shared" si="31"/>
        <v/>
      </c>
      <c r="H218" s="17" t="str">
        <f>IF(B218="","",SUM($F$12:F218))</f>
        <v/>
      </c>
      <c r="I218" s="17" t="str">
        <f>IF(B218="","",SUM($G$12:G218))</f>
        <v/>
      </c>
      <c r="J218" s="17" t="str">
        <f t="shared" si="28"/>
        <v/>
      </c>
      <c r="K218" s="18" t="str">
        <f t="shared" si="29"/>
        <v/>
      </c>
      <c r="L218" s="27" t="str">
        <f t="shared" si="32"/>
        <v/>
      </c>
    </row>
    <row r="219" spans="2:12" x14ac:dyDescent="0.2">
      <c r="B219" s="15" t="str">
        <f t="shared" si="33"/>
        <v/>
      </c>
      <c r="C219" s="16" t="str">
        <f t="shared" si="34"/>
        <v/>
      </c>
      <c r="D219" s="17" t="str">
        <f t="shared" si="35"/>
        <v/>
      </c>
      <c r="E219" s="17" t="str">
        <f t="shared" si="27"/>
        <v/>
      </c>
      <c r="F219" s="17" t="str">
        <f t="shared" si="30"/>
        <v/>
      </c>
      <c r="G219" s="17" t="str">
        <f t="shared" si="31"/>
        <v/>
      </c>
      <c r="H219" s="17" t="str">
        <f>IF(B219="","",SUM($F$12:F219))</f>
        <v/>
      </c>
      <c r="I219" s="17" t="str">
        <f>IF(B219="","",SUM($G$12:G219))</f>
        <v/>
      </c>
      <c r="J219" s="17" t="str">
        <f t="shared" si="28"/>
        <v/>
      </c>
      <c r="K219" s="18" t="str">
        <f t="shared" si="29"/>
        <v/>
      </c>
      <c r="L219" s="27" t="str">
        <f t="shared" si="32"/>
        <v/>
      </c>
    </row>
    <row r="220" spans="2:12" x14ac:dyDescent="0.2">
      <c r="B220" s="15" t="str">
        <f t="shared" si="33"/>
        <v/>
      </c>
      <c r="C220" s="16" t="str">
        <f t="shared" si="34"/>
        <v/>
      </c>
      <c r="D220" s="17" t="str">
        <f t="shared" si="35"/>
        <v/>
      </c>
      <c r="E220" s="17" t="str">
        <f t="shared" si="27"/>
        <v/>
      </c>
      <c r="F220" s="17" t="str">
        <f t="shared" si="30"/>
        <v/>
      </c>
      <c r="G220" s="17" t="str">
        <f t="shared" si="31"/>
        <v/>
      </c>
      <c r="H220" s="17" t="str">
        <f>IF(B220="","",SUM($F$12:F220))</f>
        <v/>
      </c>
      <c r="I220" s="17" t="str">
        <f>IF(B220="","",SUM($G$12:G220))</f>
        <v/>
      </c>
      <c r="J220" s="17" t="str">
        <f t="shared" si="28"/>
        <v/>
      </c>
      <c r="K220" s="18" t="str">
        <f t="shared" si="29"/>
        <v/>
      </c>
      <c r="L220" s="27" t="str">
        <f t="shared" si="32"/>
        <v/>
      </c>
    </row>
    <row r="221" spans="2:12" x14ac:dyDescent="0.2">
      <c r="B221" s="15" t="str">
        <f t="shared" si="33"/>
        <v/>
      </c>
      <c r="C221" s="16" t="str">
        <f t="shared" si="34"/>
        <v/>
      </c>
      <c r="D221" s="17" t="str">
        <f t="shared" si="35"/>
        <v/>
      </c>
      <c r="E221" s="17" t="str">
        <f t="shared" si="27"/>
        <v/>
      </c>
      <c r="F221" s="17" t="str">
        <f t="shared" si="30"/>
        <v/>
      </c>
      <c r="G221" s="17" t="str">
        <f t="shared" si="31"/>
        <v/>
      </c>
      <c r="H221" s="17" t="str">
        <f>IF(B221="","",SUM($F$12:F221))</f>
        <v/>
      </c>
      <c r="I221" s="17" t="str">
        <f>IF(B221="","",SUM($G$12:G221))</f>
        <v/>
      </c>
      <c r="J221" s="17" t="str">
        <f t="shared" si="28"/>
        <v/>
      </c>
      <c r="K221" s="18" t="str">
        <f t="shared" si="29"/>
        <v/>
      </c>
      <c r="L221" s="27" t="str">
        <f t="shared" si="32"/>
        <v/>
      </c>
    </row>
    <row r="222" spans="2:12" x14ac:dyDescent="0.2">
      <c r="B222" s="15" t="str">
        <f t="shared" si="33"/>
        <v/>
      </c>
      <c r="C222" s="16" t="str">
        <f t="shared" si="34"/>
        <v/>
      </c>
      <c r="D222" s="17" t="str">
        <f t="shared" si="35"/>
        <v/>
      </c>
      <c r="E222" s="17" t="str">
        <f t="shared" si="27"/>
        <v/>
      </c>
      <c r="F222" s="17" t="str">
        <f t="shared" si="30"/>
        <v/>
      </c>
      <c r="G222" s="17" t="str">
        <f t="shared" si="31"/>
        <v/>
      </c>
      <c r="H222" s="17" t="str">
        <f>IF(B222="","",SUM($F$12:F222))</f>
        <v/>
      </c>
      <c r="I222" s="17" t="str">
        <f>IF(B222="","",SUM($G$12:G222))</f>
        <v/>
      </c>
      <c r="J222" s="17" t="str">
        <f t="shared" si="28"/>
        <v/>
      </c>
      <c r="K222" s="18" t="str">
        <f t="shared" si="29"/>
        <v/>
      </c>
      <c r="L222" s="27" t="str">
        <f t="shared" si="32"/>
        <v/>
      </c>
    </row>
    <row r="223" spans="2:12" x14ac:dyDescent="0.2">
      <c r="B223" s="15" t="str">
        <f t="shared" si="33"/>
        <v/>
      </c>
      <c r="C223" s="16" t="str">
        <f t="shared" si="34"/>
        <v/>
      </c>
      <c r="D223" s="17" t="str">
        <f t="shared" si="35"/>
        <v/>
      </c>
      <c r="E223" s="17" t="str">
        <f t="shared" si="27"/>
        <v/>
      </c>
      <c r="F223" s="17" t="str">
        <f t="shared" si="30"/>
        <v/>
      </c>
      <c r="G223" s="17" t="str">
        <f t="shared" si="31"/>
        <v/>
      </c>
      <c r="H223" s="17" t="str">
        <f>IF(B223="","",SUM($F$12:F223))</f>
        <v/>
      </c>
      <c r="I223" s="17" t="str">
        <f>IF(B223="","",SUM($G$12:G223))</f>
        <v/>
      </c>
      <c r="J223" s="17" t="str">
        <f t="shared" si="28"/>
        <v/>
      </c>
      <c r="K223" s="18" t="str">
        <f t="shared" si="29"/>
        <v/>
      </c>
      <c r="L223" s="27" t="str">
        <f t="shared" si="32"/>
        <v/>
      </c>
    </row>
    <row r="224" spans="2:12" x14ac:dyDescent="0.2">
      <c r="B224" s="15" t="str">
        <f t="shared" si="33"/>
        <v/>
      </c>
      <c r="C224" s="16" t="str">
        <f t="shared" si="34"/>
        <v/>
      </c>
      <c r="D224" s="17" t="str">
        <f t="shared" si="35"/>
        <v/>
      </c>
      <c r="E224" s="17" t="str">
        <f t="shared" si="27"/>
        <v/>
      </c>
      <c r="F224" s="17" t="str">
        <f t="shared" si="30"/>
        <v/>
      </c>
      <c r="G224" s="17" t="str">
        <f t="shared" si="31"/>
        <v/>
      </c>
      <c r="H224" s="17" t="str">
        <f>IF(B224="","",SUM($F$12:F224))</f>
        <v/>
      </c>
      <c r="I224" s="17" t="str">
        <f>IF(B224="","",SUM($G$12:G224))</f>
        <v/>
      </c>
      <c r="J224" s="17" t="str">
        <f t="shared" si="28"/>
        <v/>
      </c>
      <c r="K224" s="18" t="str">
        <f t="shared" si="29"/>
        <v/>
      </c>
      <c r="L224" s="27" t="str">
        <f t="shared" si="32"/>
        <v/>
      </c>
    </row>
    <row r="225" spans="2:12" x14ac:dyDescent="0.2">
      <c r="B225" s="15" t="str">
        <f t="shared" si="33"/>
        <v/>
      </c>
      <c r="C225" s="16" t="str">
        <f t="shared" si="34"/>
        <v/>
      </c>
      <c r="D225" s="17" t="str">
        <f t="shared" si="35"/>
        <v/>
      </c>
      <c r="E225" s="17" t="str">
        <f t="shared" si="27"/>
        <v/>
      </c>
      <c r="F225" s="17" t="str">
        <f t="shared" si="30"/>
        <v/>
      </c>
      <c r="G225" s="17" t="str">
        <f t="shared" si="31"/>
        <v/>
      </c>
      <c r="H225" s="17" t="str">
        <f>IF(B225="","",SUM($F$12:F225))</f>
        <v/>
      </c>
      <c r="I225" s="17" t="str">
        <f>IF(B225="","",SUM($G$12:G225))</f>
        <v/>
      </c>
      <c r="J225" s="17" t="str">
        <f t="shared" si="28"/>
        <v/>
      </c>
      <c r="K225" s="18" t="str">
        <f t="shared" si="29"/>
        <v/>
      </c>
      <c r="L225" s="27" t="str">
        <f t="shared" si="32"/>
        <v/>
      </c>
    </row>
    <row r="226" spans="2:12" x14ac:dyDescent="0.2">
      <c r="B226" s="15" t="str">
        <f t="shared" si="33"/>
        <v/>
      </c>
      <c r="C226" s="16" t="str">
        <f t="shared" si="34"/>
        <v/>
      </c>
      <c r="D226" s="17" t="str">
        <f t="shared" si="35"/>
        <v/>
      </c>
      <c r="E226" s="17" t="str">
        <f t="shared" si="27"/>
        <v/>
      </c>
      <c r="F226" s="17" t="str">
        <f t="shared" si="30"/>
        <v/>
      </c>
      <c r="G226" s="17" t="str">
        <f t="shared" si="31"/>
        <v/>
      </c>
      <c r="H226" s="17" t="str">
        <f>IF(B226="","",SUM($F$12:F226))</f>
        <v/>
      </c>
      <c r="I226" s="17" t="str">
        <f>IF(B226="","",SUM($G$12:G226))</f>
        <v/>
      </c>
      <c r="J226" s="17" t="str">
        <f t="shared" si="28"/>
        <v/>
      </c>
      <c r="K226" s="18" t="str">
        <f t="shared" si="29"/>
        <v/>
      </c>
      <c r="L226" s="27" t="str">
        <f t="shared" si="32"/>
        <v/>
      </c>
    </row>
    <row r="227" spans="2:12" x14ac:dyDescent="0.2">
      <c r="B227" s="15" t="str">
        <f t="shared" si="33"/>
        <v/>
      </c>
      <c r="C227" s="16" t="str">
        <f t="shared" si="34"/>
        <v/>
      </c>
      <c r="D227" s="17" t="str">
        <f t="shared" si="35"/>
        <v/>
      </c>
      <c r="E227" s="17" t="str">
        <f t="shared" si="27"/>
        <v/>
      </c>
      <c r="F227" s="17" t="str">
        <f t="shared" si="30"/>
        <v/>
      </c>
      <c r="G227" s="17" t="str">
        <f t="shared" si="31"/>
        <v/>
      </c>
      <c r="H227" s="17" t="str">
        <f>IF(B227="","",SUM($F$12:F227))</f>
        <v/>
      </c>
      <c r="I227" s="17" t="str">
        <f>IF(B227="","",SUM($G$12:G227))</f>
        <v/>
      </c>
      <c r="J227" s="17" t="str">
        <f t="shared" si="28"/>
        <v/>
      </c>
      <c r="K227" s="18" t="str">
        <f t="shared" si="29"/>
        <v/>
      </c>
      <c r="L227" s="27" t="str">
        <f t="shared" si="32"/>
        <v/>
      </c>
    </row>
    <row r="228" spans="2:12" x14ac:dyDescent="0.2">
      <c r="B228" s="15" t="str">
        <f t="shared" si="33"/>
        <v/>
      </c>
      <c r="C228" s="16" t="str">
        <f t="shared" si="34"/>
        <v/>
      </c>
      <c r="D228" s="17" t="str">
        <f t="shared" si="35"/>
        <v/>
      </c>
      <c r="E228" s="17" t="str">
        <f t="shared" si="27"/>
        <v/>
      </c>
      <c r="F228" s="17" t="str">
        <f t="shared" si="30"/>
        <v/>
      </c>
      <c r="G228" s="17" t="str">
        <f t="shared" si="31"/>
        <v/>
      </c>
      <c r="H228" s="17" t="str">
        <f>IF(B228="","",SUM($F$12:F228))</f>
        <v/>
      </c>
      <c r="I228" s="17" t="str">
        <f>IF(B228="","",SUM($G$12:G228))</f>
        <v/>
      </c>
      <c r="J228" s="17" t="str">
        <f t="shared" si="28"/>
        <v/>
      </c>
      <c r="K228" s="18" t="str">
        <f t="shared" si="29"/>
        <v/>
      </c>
      <c r="L228" s="27" t="str">
        <f t="shared" si="32"/>
        <v/>
      </c>
    </row>
    <row r="229" spans="2:12" x14ac:dyDescent="0.2">
      <c r="B229" s="15" t="str">
        <f t="shared" si="33"/>
        <v/>
      </c>
      <c r="C229" s="16" t="str">
        <f t="shared" si="34"/>
        <v/>
      </c>
      <c r="D229" s="17" t="str">
        <f t="shared" si="35"/>
        <v/>
      </c>
      <c r="E229" s="17" t="str">
        <f t="shared" si="27"/>
        <v/>
      </c>
      <c r="F229" s="17" t="str">
        <f t="shared" si="30"/>
        <v/>
      </c>
      <c r="G229" s="17" t="str">
        <f t="shared" si="31"/>
        <v/>
      </c>
      <c r="H229" s="17" t="str">
        <f>IF(B229="","",SUM($F$12:F229))</f>
        <v/>
      </c>
      <c r="I229" s="17" t="str">
        <f>IF(B229="","",SUM($G$12:G229))</f>
        <v/>
      </c>
      <c r="J229" s="17" t="str">
        <f t="shared" si="28"/>
        <v/>
      </c>
      <c r="K229" s="18" t="str">
        <f t="shared" si="29"/>
        <v/>
      </c>
      <c r="L229" s="27" t="str">
        <f t="shared" si="32"/>
        <v/>
      </c>
    </row>
    <row r="230" spans="2:12" x14ac:dyDescent="0.2">
      <c r="B230" s="15" t="str">
        <f t="shared" si="33"/>
        <v/>
      </c>
      <c r="C230" s="16" t="str">
        <f t="shared" si="34"/>
        <v/>
      </c>
      <c r="D230" s="17" t="str">
        <f t="shared" si="35"/>
        <v/>
      </c>
      <c r="E230" s="17" t="str">
        <f t="shared" si="27"/>
        <v/>
      </c>
      <c r="F230" s="17" t="str">
        <f t="shared" si="30"/>
        <v/>
      </c>
      <c r="G230" s="17" t="str">
        <f t="shared" si="31"/>
        <v/>
      </c>
      <c r="H230" s="17" t="str">
        <f>IF(B230="","",SUM($F$12:F230))</f>
        <v/>
      </c>
      <c r="I230" s="17" t="str">
        <f>IF(B230="","",SUM($G$12:G230))</f>
        <v/>
      </c>
      <c r="J230" s="17" t="str">
        <f t="shared" si="28"/>
        <v/>
      </c>
      <c r="K230" s="18" t="str">
        <f t="shared" si="29"/>
        <v/>
      </c>
      <c r="L230" s="27" t="str">
        <f t="shared" si="32"/>
        <v/>
      </c>
    </row>
    <row r="231" spans="2:12" x14ac:dyDescent="0.2">
      <c r="B231" s="15" t="str">
        <f t="shared" si="33"/>
        <v/>
      </c>
      <c r="C231" s="16" t="str">
        <f t="shared" si="34"/>
        <v/>
      </c>
      <c r="D231" s="17" t="str">
        <f t="shared" si="35"/>
        <v/>
      </c>
      <c r="E231" s="17" t="str">
        <f t="shared" si="27"/>
        <v/>
      </c>
      <c r="F231" s="17" t="str">
        <f t="shared" si="30"/>
        <v/>
      </c>
      <c r="G231" s="17" t="str">
        <f t="shared" si="31"/>
        <v/>
      </c>
      <c r="H231" s="17" t="str">
        <f>IF(B231="","",SUM($F$12:F231))</f>
        <v/>
      </c>
      <c r="I231" s="17" t="str">
        <f>IF(B231="","",SUM($G$12:G231))</f>
        <v/>
      </c>
      <c r="J231" s="17" t="str">
        <f t="shared" si="28"/>
        <v/>
      </c>
      <c r="K231" s="18" t="str">
        <f t="shared" si="29"/>
        <v/>
      </c>
      <c r="L231" s="27" t="str">
        <f t="shared" si="32"/>
        <v/>
      </c>
    </row>
    <row r="232" spans="2:12" x14ac:dyDescent="0.2">
      <c r="B232" s="15" t="str">
        <f t="shared" si="33"/>
        <v/>
      </c>
      <c r="C232" s="16" t="str">
        <f t="shared" si="34"/>
        <v/>
      </c>
      <c r="D232" s="17" t="str">
        <f t="shared" si="35"/>
        <v/>
      </c>
      <c r="E232" s="17" t="str">
        <f t="shared" si="27"/>
        <v/>
      </c>
      <c r="F232" s="17" t="str">
        <f t="shared" si="30"/>
        <v/>
      </c>
      <c r="G232" s="17" t="str">
        <f t="shared" si="31"/>
        <v/>
      </c>
      <c r="H232" s="17" t="str">
        <f>IF(B232="","",SUM($F$12:F232))</f>
        <v/>
      </c>
      <c r="I232" s="17" t="str">
        <f>IF(B232="","",SUM($G$12:G232))</f>
        <v/>
      </c>
      <c r="J232" s="17" t="str">
        <f t="shared" si="28"/>
        <v/>
      </c>
      <c r="K232" s="18" t="str">
        <f t="shared" si="29"/>
        <v/>
      </c>
      <c r="L232" s="27" t="str">
        <f t="shared" si="32"/>
        <v/>
      </c>
    </row>
    <row r="233" spans="2:12" x14ac:dyDescent="0.2">
      <c r="B233" s="15" t="str">
        <f t="shared" si="33"/>
        <v/>
      </c>
      <c r="C233" s="16" t="str">
        <f t="shared" si="34"/>
        <v/>
      </c>
      <c r="D233" s="17" t="str">
        <f t="shared" si="35"/>
        <v/>
      </c>
      <c r="E233" s="17" t="str">
        <f t="shared" si="27"/>
        <v/>
      </c>
      <c r="F233" s="17" t="str">
        <f t="shared" si="30"/>
        <v/>
      </c>
      <c r="G233" s="17" t="str">
        <f t="shared" si="31"/>
        <v/>
      </c>
      <c r="H233" s="17" t="str">
        <f>IF(B233="","",SUM($F$12:F233))</f>
        <v/>
      </c>
      <c r="I233" s="17" t="str">
        <f>IF(B233="","",SUM($G$12:G233))</f>
        <v/>
      </c>
      <c r="J233" s="17" t="str">
        <f t="shared" si="28"/>
        <v/>
      </c>
      <c r="K233" s="18" t="str">
        <f t="shared" si="29"/>
        <v/>
      </c>
      <c r="L233" s="27" t="str">
        <f t="shared" si="32"/>
        <v/>
      </c>
    </row>
    <row r="234" spans="2:12" x14ac:dyDescent="0.2">
      <c r="B234" s="15" t="str">
        <f t="shared" si="33"/>
        <v/>
      </c>
      <c r="C234" s="16" t="str">
        <f t="shared" si="34"/>
        <v/>
      </c>
      <c r="D234" s="17" t="str">
        <f t="shared" si="35"/>
        <v/>
      </c>
      <c r="E234" s="17" t="str">
        <f t="shared" si="27"/>
        <v/>
      </c>
      <c r="F234" s="17" t="str">
        <f t="shared" si="30"/>
        <v/>
      </c>
      <c r="G234" s="17" t="str">
        <f t="shared" si="31"/>
        <v/>
      </c>
      <c r="H234" s="17" t="str">
        <f>IF(B234="","",SUM($F$12:F234))</f>
        <v/>
      </c>
      <c r="I234" s="17" t="str">
        <f>IF(B234="","",SUM($G$12:G234))</f>
        <v/>
      </c>
      <c r="J234" s="17" t="str">
        <f t="shared" si="28"/>
        <v/>
      </c>
      <c r="K234" s="18" t="str">
        <f t="shared" si="29"/>
        <v/>
      </c>
      <c r="L234" s="27" t="str">
        <f t="shared" si="32"/>
        <v/>
      </c>
    </row>
    <row r="235" spans="2:12" x14ac:dyDescent="0.2">
      <c r="B235" s="15" t="str">
        <f t="shared" si="33"/>
        <v/>
      </c>
      <c r="C235" s="16" t="str">
        <f t="shared" si="34"/>
        <v/>
      </c>
      <c r="D235" s="17" t="str">
        <f t="shared" si="35"/>
        <v/>
      </c>
      <c r="E235" s="17" t="str">
        <f t="shared" si="27"/>
        <v/>
      </c>
      <c r="F235" s="17" t="str">
        <f t="shared" si="30"/>
        <v/>
      </c>
      <c r="G235" s="17" t="str">
        <f t="shared" si="31"/>
        <v/>
      </c>
      <c r="H235" s="17" t="str">
        <f>IF(B235="","",SUM($F$12:F235))</f>
        <v/>
      </c>
      <c r="I235" s="17" t="str">
        <f>IF(B235="","",SUM($G$12:G235))</f>
        <v/>
      </c>
      <c r="J235" s="17" t="str">
        <f t="shared" si="28"/>
        <v/>
      </c>
      <c r="K235" s="18" t="str">
        <f t="shared" si="29"/>
        <v/>
      </c>
      <c r="L235" s="27" t="str">
        <f t="shared" si="32"/>
        <v/>
      </c>
    </row>
    <row r="236" spans="2:12" x14ac:dyDescent="0.2">
      <c r="B236" s="15" t="str">
        <f t="shared" si="33"/>
        <v/>
      </c>
      <c r="C236" s="16" t="str">
        <f t="shared" si="34"/>
        <v/>
      </c>
      <c r="D236" s="17" t="str">
        <f t="shared" si="35"/>
        <v/>
      </c>
      <c r="E236" s="17" t="str">
        <f t="shared" si="27"/>
        <v/>
      </c>
      <c r="F236" s="17" t="str">
        <f t="shared" si="30"/>
        <v/>
      </c>
      <c r="G236" s="17" t="str">
        <f t="shared" si="31"/>
        <v/>
      </c>
      <c r="H236" s="17" t="str">
        <f>IF(B236="","",SUM($F$12:F236))</f>
        <v/>
      </c>
      <c r="I236" s="17" t="str">
        <f>IF(B236="","",SUM($G$12:G236))</f>
        <v/>
      </c>
      <c r="J236" s="17" t="str">
        <f t="shared" si="28"/>
        <v/>
      </c>
      <c r="K236" s="18" t="str">
        <f t="shared" si="29"/>
        <v/>
      </c>
      <c r="L236" s="27" t="str">
        <f t="shared" si="32"/>
        <v/>
      </c>
    </row>
    <row r="237" spans="2:12" x14ac:dyDescent="0.2">
      <c r="B237" s="15" t="str">
        <f t="shared" si="33"/>
        <v/>
      </c>
      <c r="C237" s="16" t="str">
        <f t="shared" si="34"/>
        <v/>
      </c>
      <c r="D237" s="17" t="str">
        <f t="shared" si="35"/>
        <v/>
      </c>
      <c r="E237" s="17" t="str">
        <f t="shared" si="27"/>
        <v/>
      </c>
      <c r="F237" s="17" t="str">
        <f t="shared" si="30"/>
        <v/>
      </c>
      <c r="G237" s="17" t="str">
        <f t="shared" si="31"/>
        <v/>
      </c>
      <c r="H237" s="17" t="str">
        <f>IF(B237="","",SUM($F$12:F237))</f>
        <v/>
      </c>
      <c r="I237" s="17" t="str">
        <f>IF(B237="","",SUM($G$12:G237))</f>
        <v/>
      </c>
      <c r="J237" s="17" t="str">
        <f t="shared" si="28"/>
        <v/>
      </c>
      <c r="K237" s="18" t="str">
        <f t="shared" si="29"/>
        <v/>
      </c>
      <c r="L237" s="27" t="str">
        <f t="shared" si="32"/>
        <v/>
      </c>
    </row>
    <row r="238" spans="2:12" x14ac:dyDescent="0.2">
      <c r="B238" s="15" t="str">
        <f t="shared" si="33"/>
        <v/>
      </c>
      <c r="C238" s="16" t="str">
        <f t="shared" si="34"/>
        <v/>
      </c>
      <c r="D238" s="17" t="str">
        <f t="shared" si="35"/>
        <v/>
      </c>
      <c r="E238" s="17" t="str">
        <f t="shared" si="27"/>
        <v/>
      </c>
      <c r="F238" s="17" t="str">
        <f t="shared" si="30"/>
        <v/>
      </c>
      <c r="G238" s="17" t="str">
        <f t="shared" si="31"/>
        <v/>
      </c>
      <c r="H238" s="17" t="str">
        <f>IF(B238="","",SUM($F$12:F238))</f>
        <v/>
      </c>
      <c r="I238" s="17" t="str">
        <f>IF(B238="","",SUM($G$12:G238))</f>
        <v/>
      </c>
      <c r="J238" s="17" t="str">
        <f t="shared" si="28"/>
        <v/>
      </c>
      <c r="K238" s="18" t="str">
        <f t="shared" si="29"/>
        <v/>
      </c>
      <c r="L238" s="27" t="str">
        <f t="shared" si="32"/>
        <v/>
      </c>
    </row>
    <row r="239" spans="2:12" x14ac:dyDescent="0.2">
      <c r="B239" s="15" t="str">
        <f t="shared" si="33"/>
        <v/>
      </c>
      <c r="C239" s="16" t="str">
        <f t="shared" si="34"/>
        <v/>
      </c>
      <c r="D239" s="17" t="str">
        <f t="shared" si="35"/>
        <v/>
      </c>
      <c r="E239" s="17" t="str">
        <f t="shared" si="27"/>
        <v/>
      </c>
      <c r="F239" s="17" t="str">
        <f t="shared" si="30"/>
        <v/>
      </c>
      <c r="G239" s="17" t="str">
        <f t="shared" si="31"/>
        <v/>
      </c>
      <c r="H239" s="17" t="str">
        <f>IF(B239="","",SUM($F$12:F239))</f>
        <v/>
      </c>
      <c r="I239" s="17" t="str">
        <f>IF(B239="","",SUM($G$12:G239))</f>
        <v/>
      </c>
      <c r="J239" s="17" t="str">
        <f t="shared" si="28"/>
        <v/>
      </c>
      <c r="K239" s="18" t="str">
        <f t="shared" si="29"/>
        <v/>
      </c>
      <c r="L239" s="27" t="str">
        <f t="shared" si="32"/>
        <v/>
      </c>
    </row>
    <row r="240" spans="2:12" x14ac:dyDescent="0.2">
      <c r="B240" s="15" t="str">
        <f t="shared" si="33"/>
        <v/>
      </c>
      <c r="C240" s="16" t="str">
        <f t="shared" si="34"/>
        <v/>
      </c>
      <c r="D240" s="17" t="str">
        <f t="shared" si="35"/>
        <v/>
      </c>
      <c r="E240" s="17" t="str">
        <f t="shared" si="27"/>
        <v/>
      </c>
      <c r="F240" s="17" t="str">
        <f t="shared" si="30"/>
        <v/>
      </c>
      <c r="G240" s="17" t="str">
        <f t="shared" si="31"/>
        <v/>
      </c>
      <c r="H240" s="17" t="str">
        <f>IF(B240="","",SUM($F$12:F240))</f>
        <v/>
      </c>
      <c r="I240" s="17" t="str">
        <f>IF(B240="","",SUM($G$12:G240))</f>
        <v/>
      </c>
      <c r="J240" s="17" t="str">
        <f t="shared" si="28"/>
        <v/>
      </c>
      <c r="K240" s="18" t="str">
        <f t="shared" si="29"/>
        <v/>
      </c>
      <c r="L240" s="27" t="str">
        <f t="shared" si="32"/>
        <v/>
      </c>
    </row>
    <row r="241" spans="2:12" x14ac:dyDescent="0.2">
      <c r="B241" s="15" t="str">
        <f t="shared" si="33"/>
        <v/>
      </c>
      <c r="C241" s="16" t="str">
        <f t="shared" si="34"/>
        <v/>
      </c>
      <c r="D241" s="17" t="str">
        <f t="shared" si="35"/>
        <v/>
      </c>
      <c r="E241" s="17" t="str">
        <f t="shared" si="27"/>
        <v/>
      </c>
      <c r="F241" s="17" t="str">
        <f t="shared" si="30"/>
        <v/>
      </c>
      <c r="G241" s="17" t="str">
        <f t="shared" si="31"/>
        <v/>
      </c>
      <c r="H241" s="17" t="str">
        <f>IF(B241="","",SUM($F$12:F241))</f>
        <v/>
      </c>
      <c r="I241" s="17" t="str">
        <f>IF(B241="","",SUM($G$12:G241))</f>
        <v/>
      </c>
      <c r="J241" s="17" t="str">
        <f t="shared" si="28"/>
        <v/>
      </c>
      <c r="K241" s="18" t="str">
        <f t="shared" si="29"/>
        <v/>
      </c>
      <c r="L241" s="27" t="str">
        <f t="shared" si="32"/>
        <v/>
      </c>
    </row>
    <row r="242" spans="2:12" x14ac:dyDescent="0.2">
      <c r="B242" s="15" t="str">
        <f t="shared" si="33"/>
        <v/>
      </c>
      <c r="C242" s="16" t="str">
        <f t="shared" si="34"/>
        <v/>
      </c>
      <c r="D242" s="17" t="str">
        <f t="shared" si="35"/>
        <v/>
      </c>
      <c r="E242" s="17" t="str">
        <f t="shared" si="27"/>
        <v/>
      </c>
      <c r="F242" s="17" t="str">
        <f t="shared" si="30"/>
        <v/>
      </c>
      <c r="G242" s="17" t="str">
        <f t="shared" si="31"/>
        <v/>
      </c>
      <c r="H242" s="17" t="str">
        <f>IF(B242="","",SUM($F$12:F242))</f>
        <v/>
      </c>
      <c r="I242" s="17" t="str">
        <f>IF(B242="","",SUM($G$12:G242))</f>
        <v/>
      </c>
      <c r="J242" s="17" t="str">
        <f t="shared" si="28"/>
        <v/>
      </c>
      <c r="K242" s="18" t="str">
        <f t="shared" si="29"/>
        <v/>
      </c>
      <c r="L242" s="27" t="str">
        <f t="shared" si="32"/>
        <v/>
      </c>
    </row>
    <row r="243" spans="2:12" x14ac:dyDescent="0.2">
      <c r="B243" s="15" t="str">
        <f t="shared" si="33"/>
        <v/>
      </c>
      <c r="C243" s="16" t="str">
        <f t="shared" si="34"/>
        <v/>
      </c>
      <c r="D243" s="17" t="str">
        <f t="shared" si="35"/>
        <v/>
      </c>
      <c r="E243" s="17" t="str">
        <f t="shared" si="27"/>
        <v/>
      </c>
      <c r="F243" s="17" t="str">
        <f t="shared" si="30"/>
        <v/>
      </c>
      <c r="G243" s="17" t="str">
        <f t="shared" si="31"/>
        <v/>
      </c>
      <c r="H243" s="17" t="str">
        <f>IF(B243="","",SUM($F$12:F243))</f>
        <v/>
      </c>
      <c r="I243" s="17" t="str">
        <f>IF(B243="","",SUM($G$12:G243))</f>
        <v/>
      </c>
      <c r="J243" s="17" t="str">
        <f t="shared" si="28"/>
        <v/>
      </c>
      <c r="K243" s="18" t="str">
        <f t="shared" si="29"/>
        <v/>
      </c>
      <c r="L243" s="27" t="str">
        <f t="shared" si="32"/>
        <v/>
      </c>
    </row>
    <row r="244" spans="2:12" x14ac:dyDescent="0.2">
      <c r="B244" s="15" t="str">
        <f t="shared" si="33"/>
        <v/>
      </c>
      <c r="C244" s="16" t="str">
        <f t="shared" si="34"/>
        <v/>
      </c>
      <c r="D244" s="17" t="str">
        <f t="shared" si="35"/>
        <v/>
      </c>
      <c r="E244" s="17" t="str">
        <f t="shared" si="27"/>
        <v/>
      </c>
      <c r="F244" s="17" t="str">
        <f t="shared" si="30"/>
        <v/>
      </c>
      <c r="G244" s="17" t="str">
        <f t="shared" si="31"/>
        <v/>
      </c>
      <c r="H244" s="17" t="str">
        <f>IF(B244="","",SUM($F$12:F244))</f>
        <v/>
      </c>
      <c r="I244" s="17" t="str">
        <f>IF(B244="","",SUM($G$12:G244))</f>
        <v/>
      </c>
      <c r="J244" s="17" t="str">
        <f t="shared" si="28"/>
        <v/>
      </c>
      <c r="K244" s="18" t="str">
        <f t="shared" si="29"/>
        <v/>
      </c>
      <c r="L244" s="27" t="str">
        <f t="shared" si="32"/>
        <v/>
      </c>
    </row>
    <row r="245" spans="2:12" x14ac:dyDescent="0.2">
      <c r="B245" s="15" t="str">
        <f t="shared" si="33"/>
        <v/>
      </c>
      <c r="C245" s="16" t="str">
        <f t="shared" si="34"/>
        <v/>
      </c>
      <c r="D245" s="17" t="str">
        <f t="shared" si="35"/>
        <v/>
      </c>
      <c r="E245" s="17" t="str">
        <f t="shared" si="27"/>
        <v/>
      </c>
      <c r="F245" s="17" t="str">
        <f t="shared" si="30"/>
        <v/>
      </c>
      <c r="G245" s="17" t="str">
        <f t="shared" si="31"/>
        <v/>
      </c>
      <c r="H245" s="17" t="str">
        <f>IF(B245="","",SUM($F$12:F245))</f>
        <v/>
      </c>
      <c r="I245" s="17" t="str">
        <f>IF(B245="","",SUM($G$12:G245))</f>
        <v/>
      </c>
      <c r="J245" s="17" t="str">
        <f t="shared" si="28"/>
        <v/>
      </c>
      <c r="K245" s="18" t="str">
        <f t="shared" si="29"/>
        <v/>
      </c>
      <c r="L245" s="27" t="str">
        <f t="shared" si="32"/>
        <v/>
      </c>
    </row>
    <row r="246" spans="2:12" x14ac:dyDescent="0.2">
      <c r="B246" s="15" t="str">
        <f t="shared" si="33"/>
        <v/>
      </c>
      <c r="C246" s="16" t="str">
        <f t="shared" si="34"/>
        <v/>
      </c>
      <c r="D246" s="17" t="str">
        <f t="shared" si="35"/>
        <v/>
      </c>
      <c r="E246" s="17" t="str">
        <f t="shared" si="27"/>
        <v/>
      </c>
      <c r="F246" s="17" t="str">
        <f t="shared" si="30"/>
        <v/>
      </c>
      <c r="G246" s="17" t="str">
        <f t="shared" si="31"/>
        <v/>
      </c>
      <c r="H246" s="17" t="str">
        <f>IF(B246="","",SUM($F$12:F246))</f>
        <v/>
      </c>
      <c r="I246" s="17" t="str">
        <f>IF(B246="","",SUM($G$12:G246))</f>
        <v/>
      </c>
      <c r="J246" s="17" t="str">
        <f t="shared" si="28"/>
        <v/>
      </c>
      <c r="K246" s="18" t="str">
        <f t="shared" si="29"/>
        <v/>
      </c>
      <c r="L246" s="27" t="str">
        <f t="shared" si="32"/>
        <v/>
      </c>
    </row>
    <row r="247" spans="2:12" x14ac:dyDescent="0.2">
      <c r="B247" s="15" t="str">
        <f t="shared" si="33"/>
        <v/>
      </c>
      <c r="C247" s="16" t="str">
        <f t="shared" si="34"/>
        <v/>
      </c>
      <c r="D247" s="17" t="str">
        <f t="shared" si="35"/>
        <v/>
      </c>
      <c r="E247" s="17" t="str">
        <f t="shared" si="27"/>
        <v/>
      </c>
      <c r="F247" s="17" t="str">
        <f t="shared" si="30"/>
        <v/>
      </c>
      <c r="G247" s="17" t="str">
        <f t="shared" si="31"/>
        <v/>
      </c>
      <c r="H247" s="17" t="str">
        <f>IF(B247="","",SUM($F$12:F247))</f>
        <v/>
      </c>
      <c r="I247" s="17" t="str">
        <f>IF(B247="","",SUM($G$12:G247))</f>
        <v/>
      </c>
      <c r="J247" s="17" t="str">
        <f t="shared" si="28"/>
        <v/>
      </c>
      <c r="K247" s="18" t="str">
        <f t="shared" si="29"/>
        <v/>
      </c>
      <c r="L247" s="27" t="str">
        <f t="shared" si="32"/>
        <v/>
      </c>
    </row>
    <row r="248" spans="2:12" x14ac:dyDescent="0.2">
      <c r="B248" s="15" t="str">
        <f t="shared" si="33"/>
        <v/>
      </c>
      <c r="C248" s="16" t="str">
        <f t="shared" si="34"/>
        <v/>
      </c>
      <c r="D248" s="17" t="str">
        <f t="shared" si="35"/>
        <v/>
      </c>
      <c r="E248" s="17" t="str">
        <f t="shared" si="27"/>
        <v/>
      </c>
      <c r="F248" s="17" t="str">
        <f t="shared" si="30"/>
        <v/>
      </c>
      <c r="G248" s="17" t="str">
        <f t="shared" si="31"/>
        <v/>
      </c>
      <c r="H248" s="17" t="str">
        <f>IF(B248="","",SUM($F$12:F248))</f>
        <v/>
      </c>
      <c r="I248" s="17" t="str">
        <f>IF(B248="","",SUM($G$12:G248))</f>
        <v/>
      </c>
      <c r="J248" s="17" t="str">
        <f t="shared" si="28"/>
        <v/>
      </c>
      <c r="K248" s="18" t="str">
        <f t="shared" si="29"/>
        <v/>
      </c>
      <c r="L248" s="27" t="str">
        <f t="shared" si="32"/>
        <v/>
      </c>
    </row>
    <row r="249" spans="2:12" x14ac:dyDescent="0.2">
      <c r="B249" s="15" t="str">
        <f t="shared" si="33"/>
        <v/>
      </c>
      <c r="C249" s="16" t="str">
        <f t="shared" si="34"/>
        <v/>
      </c>
      <c r="D249" s="17" t="str">
        <f t="shared" si="35"/>
        <v/>
      </c>
      <c r="E249" s="17" t="str">
        <f t="shared" si="27"/>
        <v/>
      </c>
      <c r="F249" s="17" t="str">
        <f t="shared" si="30"/>
        <v/>
      </c>
      <c r="G249" s="17" t="str">
        <f t="shared" si="31"/>
        <v/>
      </c>
      <c r="H249" s="17" t="str">
        <f>IF(B249="","",SUM($F$12:F249))</f>
        <v/>
      </c>
      <c r="I249" s="17" t="str">
        <f>IF(B249="","",SUM($G$12:G249))</f>
        <v/>
      </c>
      <c r="J249" s="17" t="str">
        <f t="shared" si="28"/>
        <v/>
      </c>
      <c r="K249" s="18" t="str">
        <f t="shared" si="29"/>
        <v/>
      </c>
      <c r="L249" s="27" t="str">
        <f t="shared" si="32"/>
        <v/>
      </c>
    </row>
    <row r="250" spans="2:12" x14ac:dyDescent="0.2">
      <c r="B250" s="15" t="str">
        <f t="shared" si="33"/>
        <v/>
      </c>
      <c r="C250" s="16" t="str">
        <f t="shared" si="34"/>
        <v/>
      </c>
      <c r="D250" s="17" t="str">
        <f t="shared" si="35"/>
        <v/>
      </c>
      <c r="E250" s="17" t="str">
        <f t="shared" si="27"/>
        <v/>
      </c>
      <c r="F250" s="17" t="str">
        <f t="shared" si="30"/>
        <v/>
      </c>
      <c r="G250" s="17" t="str">
        <f t="shared" si="31"/>
        <v/>
      </c>
      <c r="H250" s="17" t="str">
        <f>IF(B250="","",SUM($F$12:F250))</f>
        <v/>
      </c>
      <c r="I250" s="17" t="str">
        <f>IF(B250="","",SUM($G$12:G250))</f>
        <v/>
      </c>
      <c r="J250" s="17" t="str">
        <f t="shared" si="28"/>
        <v/>
      </c>
      <c r="K250" s="18" t="str">
        <f t="shared" si="29"/>
        <v/>
      </c>
      <c r="L250" s="27" t="str">
        <f t="shared" si="32"/>
        <v/>
      </c>
    </row>
    <row r="251" spans="2:12" x14ac:dyDescent="0.2">
      <c r="B251" s="15" t="str">
        <f t="shared" si="33"/>
        <v/>
      </c>
      <c r="C251" s="16" t="str">
        <f t="shared" si="34"/>
        <v/>
      </c>
      <c r="D251" s="17" t="str">
        <f t="shared" si="35"/>
        <v/>
      </c>
      <c r="E251" s="17" t="str">
        <f t="shared" si="27"/>
        <v/>
      </c>
      <c r="F251" s="17" t="str">
        <f t="shared" si="30"/>
        <v/>
      </c>
      <c r="G251" s="17" t="str">
        <f t="shared" si="31"/>
        <v/>
      </c>
      <c r="H251" s="17" t="str">
        <f>IF(B251="","",SUM($F$12:F251))</f>
        <v/>
      </c>
      <c r="I251" s="17" t="str">
        <f>IF(B251="","",SUM($G$12:G251))</f>
        <v/>
      </c>
      <c r="J251" s="17" t="str">
        <f t="shared" si="28"/>
        <v/>
      </c>
      <c r="K251" s="18" t="str">
        <f t="shared" si="29"/>
        <v/>
      </c>
      <c r="L251" s="27" t="str">
        <f t="shared" si="32"/>
        <v/>
      </c>
    </row>
    <row r="252" spans="2:12" x14ac:dyDescent="0.2">
      <c r="B252" s="15" t="str">
        <f t="shared" si="33"/>
        <v/>
      </c>
      <c r="C252" s="16" t="str">
        <f t="shared" si="34"/>
        <v/>
      </c>
      <c r="D252" s="17" t="str">
        <f t="shared" si="35"/>
        <v/>
      </c>
      <c r="E252" s="17" t="str">
        <f t="shared" si="27"/>
        <v/>
      </c>
      <c r="F252" s="17" t="str">
        <f t="shared" si="30"/>
        <v/>
      </c>
      <c r="G252" s="17" t="str">
        <f t="shared" si="31"/>
        <v/>
      </c>
      <c r="H252" s="17" t="str">
        <f>IF(B252="","",SUM($F$12:F252))</f>
        <v/>
      </c>
      <c r="I252" s="17" t="str">
        <f>IF(B252="","",SUM($G$12:G252))</f>
        <v/>
      </c>
      <c r="J252" s="17" t="str">
        <f t="shared" si="28"/>
        <v/>
      </c>
      <c r="K252" s="18" t="str">
        <f t="shared" si="29"/>
        <v/>
      </c>
      <c r="L252" s="27" t="str">
        <f t="shared" si="32"/>
        <v/>
      </c>
    </row>
    <row r="253" spans="2:12" x14ac:dyDescent="0.2">
      <c r="B253" s="15" t="str">
        <f t="shared" si="33"/>
        <v/>
      </c>
      <c r="C253" s="16" t="str">
        <f t="shared" si="34"/>
        <v/>
      </c>
      <c r="D253" s="17" t="str">
        <f t="shared" si="35"/>
        <v/>
      </c>
      <c r="E253" s="17" t="str">
        <f t="shared" si="27"/>
        <v/>
      </c>
      <c r="F253" s="17" t="str">
        <f t="shared" si="30"/>
        <v/>
      </c>
      <c r="G253" s="17" t="str">
        <f t="shared" si="31"/>
        <v/>
      </c>
      <c r="H253" s="17" t="str">
        <f>IF(B253="","",SUM($F$12:F253))</f>
        <v/>
      </c>
      <c r="I253" s="17" t="str">
        <f>IF(B253="","",SUM($G$12:G253))</f>
        <v/>
      </c>
      <c r="J253" s="17" t="str">
        <f t="shared" si="28"/>
        <v/>
      </c>
      <c r="K253" s="18" t="str">
        <f t="shared" si="29"/>
        <v/>
      </c>
      <c r="L253" s="27" t="str">
        <f t="shared" si="32"/>
        <v/>
      </c>
    </row>
    <row r="254" spans="2:12" x14ac:dyDescent="0.2">
      <c r="B254" s="15" t="str">
        <f t="shared" si="33"/>
        <v/>
      </c>
      <c r="C254" s="16" t="str">
        <f t="shared" si="34"/>
        <v/>
      </c>
      <c r="D254" s="17" t="str">
        <f t="shared" si="35"/>
        <v/>
      </c>
      <c r="E254" s="17" t="str">
        <f t="shared" si="27"/>
        <v/>
      </c>
      <c r="F254" s="17" t="str">
        <f t="shared" si="30"/>
        <v/>
      </c>
      <c r="G254" s="17" t="str">
        <f t="shared" si="31"/>
        <v/>
      </c>
      <c r="H254" s="17" t="str">
        <f>IF(B254="","",SUM($F$12:F254))</f>
        <v/>
      </c>
      <c r="I254" s="17" t="str">
        <f>IF(B254="","",SUM($G$12:G254))</f>
        <v/>
      </c>
      <c r="J254" s="17" t="str">
        <f t="shared" si="28"/>
        <v/>
      </c>
      <c r="K254" s="18" t="str">
        <f t="shared" si="29"/>
        <v/>
      </c>
      <c r="L254" s="27" t="str">
        <f t="shared" si="32"/>
        <v/>
      </c>
    </row>
    <row r="255" spans="2:12" x14ac:dyDescent="0.2">
      <c r="B255" s="15" t="str">
        <f t="shared" si="33"/>
        <v/>
      </c>
      <c r="C255" s="16" t="str">
        <f t="shared" si="34"/>
        <v/>
      </c>
      <c r="D255" s="17" t="str">
        <f t="shared" si="35"/>
        <v/>
      </c>
      <c r="E255" s="17" t="str">
        <f t="shared" si="27"/>
        <v/>
      </c>
      <c r="F255" s="17" t="str">
        <f t="shared" si="30"/>
        <v/>
      </c>
      <c r="G255" s="17" t="str">
        <f t="shared" si="31"/>
        <v/>
      </c>
      <c r="H255" s="17" t="str">
        <f>IF(B255="","",SUM($F$12:F255))</f>
        <v/>
      </c>
      <c r="I255" s="17" t="str">
        <f>IF(B255="","",SUM($G$12:G255))</f>
        <v/>
      </c>
      <c r="J255" s="17" t="str">
        <f t="shared" si="28"/>
        <v/>
      </c>
      <c r="K255" s="18" t="str">
        <f t="shared" si="29"/>
        <v/>
      </c>
      <c r="L255" s="27" t="str">
        <f t="shared" si="32"/>
        <v/>
      </c>
    </row>
    <row r="256" spans="2:12" x14ac:dyDescent="0.2">
      <c r="B256" s="15" t="str">
        <f t="shared" si="33"/>
        <v/>
      </c>
      <c r="C256" s="16" t="str">
        <f t="shared" si="34"/>
        <v/>
      </c>
      <c r="D256" s="17" t="str">
        <f t="shared" si="35"/>
        <v/>
      </c>
      <c r="E256" s="17" t="str">
        <f t="shared" si="27"/>
        <v/>
      </c>
      <c r="F256" s="17" t="str">
        <f t="shared" si="30"/>
        <v/>
      </c>
      <c r="G256" s="17" t="str">
        <f t="shared" si="31"/>
        <v/>
      </c>
      <c r="H256" s="17" t="str">
        <f>IF(B256="","",SUM($F$12:F256))</f>
        <v/>
      </c>
      <c r="I256" s="17" t="str">
        <f>IF(B256="","",SUM($G$12:G256))</f>
        <v/>
      </c>
      <c r="J256" s="17" t="str">
        <f t="shared" si="28"/>
        <v/>
      </c>
      <c r="K256" s="18" t="str">
        <f t="shared" si="29"/>
        <v/>
      </c>
      <c r="L256" s="27" t="str">
        <f t="shared" si="32"/>
        <v/>
      </c>
    </row>
    <row r="257" spans="2:12" x14ac:dyDescent="0.2">
      <c r="B257" s="15" t="str">
        <f t="shared" si="33"/>
        <v/>
      </c>
      <c r="C257" s="16" t="str">
        <f t="shared" si="34"/>
        <v/>
      </c>
      <c r="D257" s="17" t="str">
        <f t="shared" si="35"/>
        <v/>
      </c>
      <c r="E257" s="17" t="str">
        <f t="shared" ref="E257:E320" si="36">IF(B257="","",PMT($H$9/12,$K$9*12,-$D$9))</f>
        <v/>
      </c>
      <c r="F257" s="17" t="str">
        <f t="shared" si="30"/>
        <v/>
      </c>
      <c r="G257" s="17" t="str">
        <f t="shared" si="31"/>
        <v/>
      </c>
      <c r="H257" s="17" t="str">
        <f>IF(B257="","",SUM($F$12:F257))</f>
        <v/>
      </c>
      <c r="I257" s="17" t="str">
        <f>IF(B257="","",SUM($G$12:G257))</f>
        <v/>
      </c>
      <c r="J257" s="17" t="str">
        <f t="shared" ref="J257:J320" si="37">IF(B257="","",$E$12*B257)</f>
        <v/>
      </c>
      <c r="K257" s="18" t="str">
        <f t="shared" ref="K257:K320" si="38">IF(B257="","",D257-G257)</f>
        <v/>
      </c>
      <c r="L257" s="27" t="str">
        <f t="shared" si="32"/>
        <v/>
      </c>
    </row>
    <row r="258" spans="2:12" x14ac:dyDescent="0.2">
      <c r="B258" s="15" t="str">
        <f t="shared" si="33"/>
        <v/>
      </c>
      <c r="C258" s="16" t="str">
        <f t="shared" si="34"/>
        <v/>
      </c>
      <c r="D258" s="17" t="str">
        <f t="shared" si="35"/>
        <v/>
      </c>
      <c r="E258" s="17" t="str">
        <f t="shared" si="36"/>
        <v/>
      </c>
      <c r="F258" s="17" t="str">
        <f t="shared" si="30"/>
        <v/>
      </c>
      <c r="G258" s="17" t="str">
        <f t="shared" si="31"/>
        <v/>
      </c>
      <c r="H258" s="17" t="str">
        <f>IF(B258="","",SUM($F$12:F258))</f>
        <v/>
      </c>
      <c r="I258" s="17" t="str">
        <f>IF(B258="","",SUM($G$12:G258))</f>
        <v/>
      </c>
      <c r="J258" s="17" t="str">
        <f t="shared" si="37"/>
        <v/>
      </c>
      <c r="K258" s="18" t="str">
        <f t="shared" si="38"/>
        <v/>
      </c>
      <c r="L258" s="27" t="str">
        <f t="shared" si="32"/>
        <v/>
      </c>
    </row>
    <row r="259" spans="2:12" x14ac:dyDescent="0.2">
      <c r="B259" s="15" t="str">
        <f t="shared" si="33"/>
        <v/>
      </c>
      <c r="C259" s="16" t="str">
        <f t="shared" si="34"/>
        <v/>
      </c>
      <c r="D259" s="17" t="str">
        <f t="shared" si="35"/>
        <v/>
      </c>
      <c r="E259" s="17" t="str">
        <f t="shared" si="36"/>
        <v/>
      </c>
      <c r="F259" s="17" t="str">
        <f t="shared" si="30"/>
        <v/>
      </c>
      <c r="G259" s="17" t="str">
        <f t="shared" si="31"/>
        <v/>
      </c>
      <c r="H259" s="17" t="str">
        <f>IF(B259="","",SUM($F$12:F259))</f>
        <v/>
      </c>
      <c r="I259" s="17" t="str">
        <f>IF(B259="","",SUM($G$12:G259))</f>
        <v/>
      </c>
      <c r="J259" s="17" t="str">
        <f t="shared" si="37"/>
        <v/>
      </c>
      <c r="K259" s="18" t="str">
        <f t="shared" si="38"/>
        <v/>
      </c>
      <c r="L259" s="27" t="str">
        <f t="shared" si="32"/>
        <v/>
      </c>
    </row>
    <row r="260" spans="2:12" x14ac:dyDescent="0.2">
      <c r="B260" s="15" t="str">
        <f t="shared" si="33"/>
        <v/>
      </c>
      <c r="C260" s="16" t="str">
        <f t="shared" si="34"/>
        <v/>
      </c>
      <c r="D260" s="17" t="str">
        <f t="shared" si="35"/>
        <v/>
      </c>
      <c r="E260" s="17" t="str">
        <f t="shared" si="36"/>
        <v/>
      </c>
      <c r="F260" s="17" t="str">
        <f t="shared" si="30"/>
        <v/>
      </c>
      <c r="G260" s="17" t="str">
        <f t="shared" si="31"/>
        <v/>
      </c>
      <c r="H260" s="17" t="str">
        <f>IF(B260="","",SUM($F$12:F260))</f>
        <v/>
      </c>
      <c r="I260" s="17" t="str">
        <f>IF(B260="","",SUM($G$12:G260))</f>
        <v/>
      </c>
      <c r="J260" s="17" t="str">
        <f t="shared" si="37"/>
        <v/>
      </c>
      <c r="K260" s="18" t="str">
        <f t="shared" si="38"/>
        <v/>
      </c>
      <c r="L260" s="27" t="str">
        <f t="shared" si="32"/>
        <v/>
      </c>
    </row>
    <row r="261" spans="2:12" x14ac:dyDescent="0.2">
      <c r="B261" s="15" t="str">
        <f t="shared" si="33"/>
        <v/>
      </c>
      <c r="C261" s="16" t="str">
        <f t="shared" si="34"/>
        <v/>
      </c>
      <c r="D261" s="17" t="str">
        <f t="shared" si="35"/>
        <v/>
      </c>
      <c r="E261" s="17" t="str">
        <f t="shared" si="36"/>
        <v/>
      </c>
      <c r="F261" s="17" t="str">
        <f t="shared" si="30"/>
        <v/>
      </c>
      <c r="G261" s="17" t="str">
        <f t="shared" si="31"/>
        <v/>
      </c>
      <c r="H261" s="17" t="str">
        <f>IF(B261="","",SUM($F$12:F261))</f>
        <v/>
      </c>
      <c r="I261" s="17" t="str">
        <f>IF(B261="","",SUM($G$12:G261))</f>
        <v/>
      </c>
      <c r="J261" s="17" t="str">
        <f t="shared" si="37"/>
        <v/>
      </c>
      <c r="K261" s="18" t="str">
        <f t="shared" si="38"/>
        <v/>
      </c>
      <c r="L261" s="27" t="str">
        <f t="shared" si="32"/>
        <v/>
      </c>
    </row>
    <row r="262" spans="2:12" x14ac:dyDescent="0.2">
      <c r="B262" s="15" t="str">
        <f t="shared" si="33"/>
        <v/>
      </c>
      <c r="C262" s="16" t="str">
        <f t="shared" si="34"/>
        <v/>
      </c>
      <c r="D262" s="17" t="str">
        <f t="shared" si="35"/>
        <v/>
      </c>
      <c r="E262" s="17" t="str">
        <f t="shared" si="36"/>
        <v/>
      </c>
      <c r="F262" s="17" t="str">
        <f t="shared" si="30"/>
        <v/>
      </c>
      <c r="G262" s="17" t="str">
        <f t="shared" si="31"/>
        <v/>
      </c>
      <c r="H262" s="17" t="str">
        <f>IF(B262="","",SUM($F$12:F262))</f>
        <v/>
      </c>
      <c r="I262" s="17" t="str">
        <f>IF(B262="","",SUM($G$12:G262))</f>
        <v/>
      </c>
      <c r="J262" s="17" t="str">
        <f t="shared" si="37"/>
        <v/>
      </c>
      <c r="K262" s="18" t="str">
        <f t="shared" si="38"/>
        <v/>
      </c>
      <c r="L262" s="27" t="str">
        <f t="shared" si="32"/>
        <v/>
      </c>
    </row>
    <row r="263" spans="2:12" x14ac:dyDescent="0.2">
      <c r="B263" s="15" t="str">
        <f t="shared" si="33"/>
        <v/>
      </c>
      <c r="C263" s="16" t="str">
        <f t="shared" si="34"/>
        <v/>
      </c>
      <c r="D263" s="17" t="str">
        <f t="shared" si="35"/>
        <v/>
      </c>
      <c r="E263" s="17" t="str">
        <f t="shared" si="36"/>
        <v/>
      </c>
      <c r="F263" s="17" t="str">
        <f t="shared" si="30"/>
        <v/>
      </c>
      <c r="G263" s="17" t="str">
        <f t="shared" si="31"/>
        <v/>
      </c>
      <c r="H263" s="17" t="str">
        <f>IF(B263="","",SUM($F$12:F263))</f>
        <v/>
      </c>
      <c r="I263" s="17" t="str">
        <f>IF(B263="","",SUM($G$12:G263))</f>
        <v/>
      </c>
      <c r="J263" s="17" t="str">
        <f t="shared" si="37"/>
        <v/>
      </c>
      <c r="K263" s="18" t="str">
        <f t="shared" si="38"/>
        <v/>
      </c>
      <c r="L263" s="27" t="str">
        <f t="shared" si="32"/>
        <v/>
      </c>
    </row>
    <row r="264" spans="2:12" x14ac:dyDescent="0.2">
      <c r="B264" s="15" t="str">
        <f t="shared" si="33"/>
        <v/>
      </c>
      <c r="C264" s="16" t="str">
        <f t="shared" si="34"/>
        <v/>
      </c>
      <c r="D264" s="17" t="str">
        <f t="shared" si="35"/>
        <v/>
      </c>
      <c r="E264" s="17" t="str">
        <f t="shared" si="36"/>
        <v/>
      </c>
      <c r="F264" s="17" t="str">
        <f t="shared" si="30"/>
        <v/>
      </c>
      <c r="G264" s="17" t="str">
        <f t="shared" si="31"/>
        <v/>
      </c>
      <c r="H264" s="17" t="str">
        <f>IF(B264="","",SUM($F$12:F264))</f>
        <v/>
      </c>
      <c r="I264" s="17" t="str">
        <f>IF(B264="","",SUM($G$12:G264))</f>
        <v/>
      </c>
      <c r="J264" s="17" t="str">
        <f t="shared" si="37"/>
        <v/>
      </c>
      <c r="K264" s="18" t="str">
        <f t="shared" si="38"/>
        <v/>
      </c>
      <c r="L264" s="27" t="str">
        <f t="shared" si="32"/>
        <v/>
      </c>
    </row>
    <row r="265" spans="2:12" x14ac:dyDescent="0.2">
      <c r="B265" s="15" t="str">
        <f t="shared" si="33"/>
        <v/>
      </c>
      <c r="C265" s="16" t="str">
        <f t="shared" si="34"/>
        <v/>
      </c>
      <c r="D265" s="17" t="str">
        <f t="shared" si="35"/>
        <v/>
      </c>
      <c r="E265" s="17" t="str">
        <f t="shared" si="36"/>
        <v/>
      </c>
      <c r="F265" s="17" t="str">
        <f t="shared" si="30"/>
        <v/>
      </c>
      <c r="G265" s="17" t="str">
        <f t="shared" si="31"/>
        <v/>
      </c>
      <c r="H265" s="17" t="str">
        <f>IF(B265="","",SUM($F$12:F265))</f>
        <v/>
      </c>
      <c r="I265" s="17" t="str">
        <f>IF(B265="","",SUM($G$12:G265))</f>
        <v/>
      </c>
      <c r="J265" s="17" t="str">
        <f t="shared" si="37"/>
        <v/>
      </c>
      <c r="K265" s="18" t="str">
        <f t="shared" si="38"/>
        <v/>
      </c>
      <c r="L265" s="27" t="str">
        <f t="shared" si="32"/>
        <v/>
      </c>
    </row>
    <row r="266" spans="2:12" x14ac:dyDescent="0.2">
      <c r="B266" s="15" t="str">
        <f t="shared" si="33"/>
        <v/>
      </c>
      <c r="C266" s="16" t="str">
        <f t="shared" si="34"/>
        <v/>
      </c>
      <c r="D266" s="17" t="str">
        <f t="shared" si="35"/>
        <v/>
      </c>
      <c r="E266" s="17" t="str">
        <f t="shared" si="36"/>
        <v/>
      </c>
      <c r="F266" s="17" t="str">
        <f t="shared" si="30"/>
        <v/>
      </c>
      <c r="G266" s="17" t="str">
        <f t="shared" si="31"/>
        <v/>
      </c>
      <c r="H266" s="17" t="str">
        <f>IF(B266="","",SUM($F$12:F266))</f>
        <v/>
      </c>
      <c r="I266" s="17" t="str">
        <f>IF(B266="","",SUM($G$12:G266))</f>
        <v/>
      </c>
      <c r="J266" s="17" t="str">
        <f t="shared" si="37"/>
        <v/>
      </c>
      <c r="K266" s="18" t="str">
        <f t="shared" si="38"/>
        <v/>
      </c>
      <c r="L266" s="27" t="str">
        <f t="shared" si="32"/>
        <v/>
      </c>
    </row>
    <row r="267" spans="2:12" x14ac:dyDescent="0.2">
      <c r="B267" s="15" t="str">
        <f t="shared" si="33"/>
        <v/>
      </c>
      <c r="C267" s="16" t="str">
        <f t="shared" si="34"/>
        <v/>
      </c>
      <c r="D267" s="17" t="str">
        <f t="shared" si="35"/>
        <v/>
      </c>
      <c r="E267" s="17" t="str">
        <f t="shared" si="36"/>
        <v/>
      </c>
      <c r="F267" s="17" t="str">
        <f t="shared" si="30"/>
        <v/>
      </c>
      <c r="G267" s="17" t="str">
        <f t="shared" si="31"/>
        <v/>
      </c>
      <c r="H267" s="17" t="str">
        <f>IF(B267="","",SUM($F$12:F267))</f>
        <v/>
      </c>
      <c r="I267" s="17" t="str">
        <f>IF(B267="","",SUM($G$12:G267))</f>
        <v/>
      </c>
      <c r="J267" s="17" t="str">
        <f t="shared" si="37"/>
        <v/>
      </c>
      <c r="K267" s="18" t="str">
        <f t="shared" si="38"/>
        <v/>
      </c>
      <c r="L267" s="27" t="str">
        <f t="shared" si="32"/>
        <v/>
      </c>
    </row>
    <row r="268" spans="2:12" x14ac:dyDescent="0.2">
      <c r="B268" s="15" t="str">
        <f t="shared" si="33"/>
        <v/>
      </c>
      <c r="C268" s="16" t="str">
        <f t="shared" si="34"/>
        <v/>
      </c>
      <c r="D268" s="17" t="str">
        <f t="shared" si="35"/>
        <v/>
      </c>
      <c r="E268" s="17" t="str">
        <f t="shared" si="36"/>
        <v/>
      </c>
      <c r="F268" s="17" t="str">
        <f t="shared" si="30"/>
        <v/>
      </c>
      <c r="G268" s="17" t="str">
        <f t="shared" si="31"/>
        <v/>
      </c>
      <c r="H268" s="17" t="str">
        <f>IF(B268="","",SUM($F$12:F268))</f>
        <v/>
      </c>
      <c r="I268" s="17" t="str">
        <f>IF(B268="","",SUM($G$12:G268))</f>
        <v/>
      </c>
      <c r="J268" s="17" t="str">
        <f t="shared" si="37"/>
        <v/>
      </c>
      <c r="K268" s="18" t="str">
        <f t="shared" si="38"/>
        <v/>
      </c>
      <c r="L268" s="27" t="str">
        <f t="shared" si="32"/>
        <v/>
      </c>
    </row>
    <row r="269" spans="2:12" x14ac:dyDescent="0.2">
      <c r="B269" s="15" t="str">
        <f t="shared" si="33"/>
        <v/>
      </c>
      <c r="C269" s="16" t="str">
        <f t="shared" si="34"/>
        <v/>
      </c>
      <c r="D269" s="17" t="str">
        <f t="shared" si="35"/>
        <v/>
      </c>
      <c r="E269" s="17" t="str">
        <f t="shared" si="36"/>
        <v/>
      </c>
      <c r="F269" s="17" t="str">
        <f t="shared" ref="F269:F332" si="39">IF(B269="","",IPMT($H$9/12,B269,$K$9*12,-$D$9))</f>
        <v/>
      </c>
      <c r="G269" s="17" t="str">
        <f t="shared" ref="G269:G332" si="40">IF(B269="","",PPMT($H$9/12,B269,$K$9*12,-$D$9))</f>
        <v/>
      </c>
      <c r="H269" s="17" t="str">
        <f>IF(B269="","",SUM($F$12:F269))</f>
        <v/>
      </c>
      <c r="I269" s="17" t="str">
        <f>IF(B269="","",SUM($G$12:G269))</f>
        <v/>
      </c>
      <c r="J269" s="17" t="str">
        <f t="shared" si="37"/>
        <v/>
      </c>
      <c r="K269" s="18" t="str">
        <f t="shared" si="38"/>
        <v/>
      </c>
      <c r="L269" s="27" t="str">
        <f t="shared" ref="L269:L332" si="41">IF(B269=$K$9*12,J269/$D$9,"")</f>
        <v/>
      </c>
    </row>
    <row r="270" spans="2:12" x14ac:dyDescent="0.2">
      <c r="B270" s="15" t="str">
        <f t="shared" ref="B270:B333" si="42">IF(ROW()-11&gt;$K$9*12,"",ROW()-11)</f>
        <v/>
      </c>
      <c r="C270" s="16" t="str">
        <f t="shared" ref="C270:C333" si="43">IF(B270="","",ROUNDUP(B270/12,0))</f>
        <v/>
      </c>
      <c r="D270" s="17" t="str">
        <f t="shared" ref="D270:D333" si="44">IF(B270="","",K269)</f>
        <v/>
      </c>
      <c r="E270" s="17" t="str">
        <f t="shared" si="36"/>
        <v/>
      </c>
      <c r="F270" s="17" t="str">
        <f t="shared" si="39"/>
        <v/>
      </c>
      <c r="G270" s="17" t="str">
        <f t="shared" si="40"/>
        <v/>
      </c>
      <c r="H270" s="17" t="str">
        <f>IF(B270="","",SUM($F$12:F270))</f>
        <v/>
      </c>
      <c r="I270" s="17" t="str">
        <f>IF(B270="","",SUM($G$12:G270))</f>
        <v/>
      </c>
      <c r="J270" s="17" t="str">
        <f t="shared" si="37"/>
        <v/>
      </c>
      <c r="K270" s="18" t="str">
        <f t="shared" si="38"/>
        <v/>
      </c>
      <c r="L270" s="27" t="str">
        <f t="shared" si="41"/>
        <v/>
      </c>
    </row>
    <row r="271" spans="2:12" x14ac:dyDescent="0.2">
      <c r="B271" s="15" t="str">
        <f t="shared" si="42"/>
        <v/>
      </c>
      <c r="C271" s="16" t="str">
        <f t="shared" si="43"/>
        <v/>
      </c>
      <c r="D271" s="17" t="str">
        <f t="shared" si="44"/>
        <v/>
      </c>
      <c r="E271" s="17" t="str">
        <f t="shared" si="36"/>
        <v/>
      </c>
      <c r="F271" s="17" t="str">
        <f t="shared" si="39"/>
        <v/>
      </c>
      <c r="G271" s="17" t="str">
        <f t="shared" si="40"/>
        <v/>
      </c>
      <c r="H271" s="17" t="str">
        <f>IF(B271="","",SUM($F$12:F271))</f>
        <v/>
      </c>
      <c r="I271" s="17" t="str">
        <f>IF(B271="","",SUM($G$12:G271))</f>
        <v/>
      </c>
      <c r="J271" s="17" t="str">
        <f t="shared" si="37"/>
        <v/>
      </c>
      <c r="K271" s="18" t="str">
        <f t="shared" si="38"/>
        <v/>
      </c>
      <c r="L271" s="27" t="str">
        <f t="shared" si="41"/>
        <v/>
      </c>
    </row>
    <row r="272" spans="2:12" x14ac:dyDescent="0.2">
      <c r="B272" s="15" t="str">
        <f t="shared" si="42"/>
        <v/>
      </c>
      <c r="C272" s="16" t="str">
        <f t="shared" si="43"/>
        <v/>
      </c>
      <c r="D272" s="17" t="str">
        <f t="shared" si="44"/>
        <v/>
      </c>
      <c r="E272" s="17" t="str">
        <f t="shared" si="36"/>
        <v/>
      </c>
      <c r="F272" s="17" t="str">
        <f t="shared" si="39"/>
        <v/>
      </c>
      <c r="G272" s="17" t="str">
        <f t="shared" si="40"/>
        <v/>
      </c>
      <c r="H272" s="17" t="str">
        <f>IF(B272="","",SUM($F$12:F272))</f>
        <v/>
      </c>
      <c r="I272" s="17" t="str">
        <f>IF(B272="","",SUM($G$12:G272))</f>
        <v/>
      </c>
      <c r="J272" s="17" t="str">
        <f t="shared" si="37"/>
        <v/>
      </c>
      <c r="K272" s="18" t="str">
        <f t="shared" si="38"/>
        <v/>
      </c>
      <c r="L272" s="27" t="str">
        <f t="shared" si="41"/>
        <v/>
      </c>
    </row>
    <row r="273" spans="2:12" x14ac:dyDescent="0.2">
      <c r="B273" s="15" t="str">
        <f t="shared" si="42"/>
        <v/>
      </c>
      <c r="C273" s="16" t="str">
        <f t="shared" si="43"/>
        <v/>
      </c>
      <c r="D273" s="17" t="str">
        <f t="shared" si="44"/>
        <v/>
      </c>
      <c r="E273" s="17" t="str">
        <f t="shared" si="36"/>
        <v/>
      </c>
      <c r="F273" s="17" t="str">
        <f t="shared" si="39"/>
        <v/>
      </c>
      <c r="G273" s="17" t="str">
        <f t="shared" si="40"/>
        <v/>
      </c>
      <c r="H273" s="17" t="str">
        <f>IF(B273="","",SUM($F$12:F273))</f>
        <v/>
      </c>
      <c r="I273" s="17" t="str">
        <f>IF(B273="","",SUM($G$12:G273))</f>
        <v/>
      </c>
      <c r="J273" s="17" t="str">
        <f t="shared" si="37"/>
        <v/>
      </c>
      <c r="K273" s="18" t="str">
        <f t="shared" si="38"/>
        <v/>
      </c>
      <c r="L273" s="27" t="str">
        <f t="shared" si="41"/>
        <v/>
      </c>
    </row>
    <row r="274" spans="2:12" x14ac:dyDescent="0.2">
      <c r="B274" s="15" t="str">
        <f t="shared" si="42"/>
        <v/>
      </c>
      <c r="C274" s="16" t="str">
        <f t="shared" si="43"/>
        <v/>
      </c>
      <c r="D274" s="17" t="str">
        <f t="shared" si="44"/>
        <v/>
      </c>
      <c r="E274" s="17" t="str">
        <f t="shared" si="36"/>
        <v/>
      </c>
      <c r="F274" s="17" t="str">
        <f t="shared" si="39"/>
        <v/>
      </c>
      <c r="G274" s="17" t="str">
        <f t="shared" si="40"/>
        <v/>
      </c>
      <c r="H274" s="17" t="str">
        <f>IF(B274="","",SUM($F$12:F274))</f>
        <v/>
      </c>
      <c r="I274" s="17" t="str">
        <f>IF(B274="","",SUM($G$12:G274))</f>
        <v/>
      </c>
      <c r="J274" s="17" t="str">
        <f t="shared" si="37"/>
        <v/>
      </c>
      <c r="K274" s="18" t="str">
        <f t="shared" si="38"/>
        <v/>
      </c>
      <c r="L274" s="27" t="str">
        <f t="shared" si="41"/>
        <v/>
      </c>
    </row>
    <row r="275" spans="2:12" x14ac:dyDescent="0.2">
      <c r="B275" s="15" t="str">
        <f t="shared" si="42"/>
        <v/>
      </c>
      <c r="C275" s="16" t="str">
        <f t="shared" si="43"/>
        <v/>
      </c>
      <c r="D275" s="17" t="str">
        <f t="shared" si="44"/>
        <v/>
      </c>
      <c r="E275" s="17" t="str">
        <f t="shared" si="36"/>
        <v/>
      </c>
      <c r="F275" s="17" t="str">
        <f t="shared" si="39"/>
        <v/>
      </c>
      <c r="G275" s="17" t="str">
        <f t="shared" si="40"/>
        <v/>
      </c>
      <c r="H275" s="17" t="str">
        <f>IF(B275="","",SUM($F$12:F275))</f>
        <v/>
      </c>
      <c r="I275" s="17" t="str">
        <f>IF(B275="","",SUM($G$12:G275))</f>
        <v/>
      </c>
      <c r="J275" s="17" t="str">
        <f t="shared" si="37"/>
        <v/>
      </c>
      <c r="K275" s="18" t="str">
        <f t="shared" si="38"/>
        <v/>
      </c>
      <c r="L275" s="27" t="str">
        <f t="shared" si="41"/>
        <v/>
      </c>
    </row>
    <row r="276" spans="2:12" x14ac:dyDescent="0.2">
      <c r="B276" s="15" t="str">
        <f t="shared" si="42"/>
        <v/>
      </c>
      <c r="C276" s="16" t="str">
        <f t="shared" si="43"/>
        <v/>
      </c>
      <c r="D276" s="17" t="str">
        <f t="shared" si="44"/>
        <v/>
      </c>
      <c r="E276" s="17" t="str">
        <f t="shared" si="36"/>
        <v/>
      </c>
      <c r="F276" s="17" t="str">
        <f t="shared" si="39"/>
        <v/>
      </c>
      <c r="G276" s="17" t="str">
        <f t="shared" si="40"/>
        <v/>
      </c>
      <c r="H276" s="17" t="str">
        <f>IF(B276="","",SUM($F$12:F276))</f>
        <v/>
      </c>
      <c r="I276" s="17" t="str">
        <f>IF(B276="","",SUM($G$12:G276))</f>
        <v/>
      </c>
      <c r="J276" s="17" t="str">
        <f t="shared" si="37"/>
        <v/>
      </c>
      <c r="K276" s="18" t="str">
        <f t="shared" si="38"/>
        <v/>
      </c>
      <c r="L276" s="27" t="str">
        <f t="shared" si="41"/>
        <v/>
      </c>
    </row>
    <row r="277" spans="2:12" x14ac:dyDescent="0.2">
      <c r="B277" s="15" t="str">
        <f t="shared" si="42"/>
        <v/>
      </c>
      <c r="C277" s="16" t="str">
        <f t="shared" si="43"/>
        <v/>
      </c>
      <c r="D277" s="17" t="str">
        <f t="shared" si="44"/>
        <v/>
      </c>
      <c r="E277" s="17" t="str">
        <f t="shared" si="36"/>
        <v/>
      </c>
      <c r="F277" s="17" t="str">
        <f t="shared" si="39"/>
        <v/>
      </c>
      <c r="G277" s="17" t="str">
        <f t="shared" si="40"/>
        <v/>
      </c>
      <c r="H277" s="17" t="str">
        <f>IF(B277="","",SUM($F$12:F277))</f>
        <v/>
      </c>
      <c r="I277" s="17" t="str">
        <f>IF(B277="","",SUM($G$12:G277))</f>
        <v/>
      </c>
      <c r="J277" s="17" t="str">
        <f t="shared" si="37"/>
        <v/>
      </c>
      <c r="K277" s="18" t="str">
        <f t="shared" si="38"/>
        <v/>
      </c>
      <c r="L277" s="27" t="str">
        <f t="shared" si="41"/>
        <v/>
      </c>
    </row>
    <row r="278" spans="2:12" x14ac:dyDescent="0.2">
      <c r="B278" s="15" t="str">
        <f t="shared" si="42"/>
        <v/>
      </c>
      <c r="C278" s="16" t="str">
        <f t="shared" si="43"/>
        <v/>
      </c>
      <c r="D278" s="17" t="str">
        <f t="shared" si="44"/>
        <v/>
      </c>
      <c r="E278" s="17" t="str">
        <f t="shared" si="36"/>
        <v/>
      </c>
      <c r="F278" s="17" t="str">
        <f t="shared" si="39"/>
        <v/>
      </c>
      <c r="G278" s="17" t="str">
        <f t="shared" si="40"/>
        <v/>
      </c>
      <c r="H278" s="17" t="str">
        <f>IF(B278="","",SUM($F$12:F278))</f>
        <v/>
      </c>
      <c r="I278" s="17" t="str">
        <f>IF(B278="","",SUM($G$12:G278))</f>
        <v/>
      </c>
      <c r="J278" s="17" t="str">
        <f t="shared" si="37"/>
        <v/>
      </c>
      <c r="K278" s="18" t="str">
        <f t="shared" si="38"/>
        <v/>
      </c>
      <c r="L278" s="27" t="str">
        <f t="shared" si="41"/>
        <v/>
      </c>
    </row>
    <row r="279" spans="2:12" x14ac:dyDescent="0.2">
      <c r="B279" s="15" t="str">
        <f t="shared" si="42"/>
        <v/>
      </c>
      <c r="C279" s="16" t="str">
        <f t="shared" si="43"/>
        <v/>
      </c>
      <c r="D279" s="17" t="str">
        <f t="shared" si="44"/>
        <v/>
      </c>
      <c r="E279" s="17" t="str">
        <f t="shared" si="36"/>
        <v/>
      </c>
      <c r="F279" s="17" t="str">
        <f t="shared" si="39"/>
        <v/>
      </c>
      <c r="G279" s="17" t="str">
        <f t="shared" si="40"/>
        <v/>
      </c>
      <c r="H279" s="17" t="str">
        <f>IF(B279="","",SUM($F$12:F279))</f>
        <v/>
      </c>
      <c r="I279" s="17" t="str">
        <f>IF(B279="","",SUM($G$12:G279))</f>
        <v/>
      </c>
      <c r="J279" s="17" t="str">
        <f t="shared" si="37"/>
        <v/>
      </c>
      <c r="K279" s="18" t="str">
        <f t="shared" si="38"/>
        <v/>
      </c>
      <c r="L279" s="27" t="str">
        <f t="shared" si="41"/>
        <v/>
      </c>
    </row>
    <row r="280" spans="2:12" x14ac:dyDescent="0.2">
      <c r="B280" s="15" t="str">
        <f t="shared" si="42"/>
        <v/>
      </c>
      <c r="C280" s="16" t="str">
        <f t="shared" si="43"/>
        <v/>
      </c>
      <c r="D280" s="17" t="str">
        <f t="shared" si="44"/>
        <v/>
      </c>
      <c r="E280" s="17" t="str">
        <f t="shared" si="36"/>
        <v/>
      </c>
      <c r="F280" s="17" t="str">
        <f t="shared" si="39"/>
        <v/>
      </c>
      <c r="G280" s="17" t="str">
        <f t="shared" si="40"/>
        <v/>
      </c>
      <c r="H280" s="17" t="str">
        <f>IF(B280="","",SUM($F$12:F280))</f>
        <v/>
      </c>
      <c r="I280" s="17" t="str">
        <f>IF(B280="","",SUM($G$12:G280))</f>
        <v/>
      </c>
      <c r="J280" s="17" t="str">
        <f t="shared" si="37"/>
        <v/>
      </c>
      <c r="K280" s="18" t="str">
        <f t="shared" si="38"/>
        <v/>
      </c>
      <c r="L280" s="27" t="str">
        <f t="shared" si="41"/>
        <v/>
      </c>
    </row>
    <row r="281" spans="2:12" x14ac:dyDescent="0.2">
      <c r="B281" s="15" t="str">
        <f t="shared" si="42"/>
        <v/>
      </c>
      <c r="C281" s="16" t="str">
        <f t="shared" si="43"/>
        <v/>
      </c>
      <c r="D281" s="17" t="str">
        <f t="shared" si="44"/>
        <v/>
      </c>
      <c r="E281" s="17" t="str">
        <f t="shared" si="36"/>
        <v/>
      </c>
      <c r="F281" s="17" t="str">
        <f t="shared" si="39"/>
        <v/>
      </c>
      <c r="G281" s="17" t="str">
        <f t="shared" si="40"/>
        <v/>
      </c>
      <c r="H281" s="17" t="str">
        <f>IF(B281="","",SUM($F$12:F281))</f>
        <v/>
      </c>
      <c r="I281" s="17" t="str">
        <f>IF(B281="","",SUM($G$12:G281))</f>
        <v/>
      </c>
      <c r="J281" s="17" t="str">
        <f t="shared" si="37"/>
        <v/>
      </c>
      <c r="K281" s="18" t="str">
        <f t="shared" si="38"/>
        <v/>
      </c>
      <c r="L281" s="27" t="str">
        <f t="shared" si="41"/>
        <v/>
      </c>
    </row>
    <row r="282" spans="2:12" x14ac:dyDescent="0.2">
      <c r="B282" s="15" t="str">
        <f t="shared" si="42"/>
        <v/>
      </c>
      <c r="C282" s="16" t="str">
        <f t="shared" si="43"/>
        <v/>
      </c>
      <c r="D282" s="17" t="str">
        <f t="shared" si="44"/>
        <v/>
      </c>
      <c r="E282" s="17" t="str">
        <f t="shared" si="36"/>
        <v/>
      </c>
      <c r="F282" s="17" t="str">
        <f t="shared" si="39"/>
        <v/>
      </c>
      <c r="G282" s="17" t="str">
        <f t="shared" si="40"/>
        <v/>
      </c>
      <c r="H282" s="17" t="str">
        <f>IF(B282="","",SUM($F$12:F282))</f>
        <v/>
      </c>
      <c r="I282" s="17" t="str">
        <f>IF(B282="","",SUM($G$12:G282))</f>
        <v/>
      </c>
      <c r="J282" s="17" t="str">
        <f t="shared" si="37"/>
        <v/>
      </c>
      <c r="K282" s="18" t="str">
        <f t="shared" si="38"/>
        <v/>
      </c>
      <c r="L282" s="27" t="str">
        <f t="shared" si="41"/>
        <v/>
      </c>
    </row>
    <row r="283" spans="2:12" x14ac:dyDescent="0.2">
      <c r="B283" s="15" t="str">
        <f t="shared" si="42"/>
        <v/>
      </c>
      <c r="C283" s="16" t="str">
        <f t="shared" si="43"/>
        <v/>
      </c>
      <c r="D283" s="17" t="str">
        <f t="shared" si="44"/>
        <v/>
      </c>
      <c r="E283" s="17" t="str">
        <f t="shared" si="36"/>
        <v/>
      </c>
      <c r="F283" s="17" t="str">
        <f t="shared" si="39"/>
        <v/>
      </c>
      <c r="G283" s="17" t="str">
        <f t="shared" si="40"/>
        <v/>
      </c>
      <c r="H283" s="17" t="str">
        <f>IF(B283="","",SUM($F$12:F283))</f>
        <v/>
      </c>
      <c r="I283" s="17" t="str">
        <f>IF(B283="","",SUM($G$12:G283))</f>
        <v/>
      </c>
      <c r="J283" s="17" t="str">
        <f t="shared" si="37"/>
        <v/>
      </c>
      <c r="K283" s="18" t="str">
        <f t="shared" si="38"/>
        <v/>
      </c>
      <c r="L283" s="27" t="str">
        <f t="shared" si="41"/>
        <v/>
      </c>
    </row>
    <row r="284" spans="2:12" x14ac:dyDescent="0.2">
      <c r="B284" s="15" t="str">
        <f t="shared" si="42"/>
        <v/>
      </c>
      <c r="C284" s="16" t="str">
        <f t="shared" si="43"/>
        <v/>
      </c>
      <c r="D284" s="17" t="str">
        <f t="shared" si="44"/>
        <v/>
      </c>
      <c r="E284" s="17" t="str">
        <f t="shared" si="36"/>
        <v/>
      </c>
      <c r="F284" s="17" t="str">
        <f t="shared" si="39"/>
        <v/>
      </c>
      <c r="G284" s="17" t="str">
        <f t="shared" si="40"/>
        <v/>
      </c>
      <c r="H284" s="17" t="str">
        <f>IF(B284="","",SUM($F$12:F284))</f>
        <v/>
      </c>
      <c r="I284" s="17" t="str">
        <f>IF(B284="","",SUM($G$12:G284))</f>
        <v/>
      </c>
      <c r="J284" s="17" t="str">
        <f t="shared" si="37"/>
        <v/>
      </c>
      <c r="K284" s="18" t="str">
        <f t="shared" si="38"/>
        <v/>
      </c>
      <c r="L284" s="27" t="str">
        <f t="shared" si="41"/>
        <v/>
      </c>
    </row>
    <row r="285" spans="2:12" x14ac:dyDescent="0.2">
      <c r="B285" s="15" t="str">
        <f t="shared" si="42"/>
        <v/>
      </c>
      <c r="C285" s="16" t="str">
        <f t="shared" si="43"/>
        <v/>
      </c>
      <c r="D285" s="17" t="str">
        <f t="shared" si="44"/>
        <v/>
      </c>
      <c r="E285" s="17" t="str">
        <f t="shared" si="36"/>
        <v/>
      </c>
      <c r="F285" s="17" t="str">
        <f t="shared" si="39"/>
        <v/>
      </c>
      <c r="G285" s="17" t="str">
        <f t="shared" si="40"/>
        <v/>
      </c>
      <c r="H285" s="17" t="str">
        <f>IF(B285="","",SUM($F$12:F285))</f>
        <v/>
      </c>
      <c r="I285" s="17" t="str">
        <f>IF(B285="","",SUM($G$12:G285))</f>
        <v/>
      </c>
      <c r="J285" s="17" t="str">
        <f t="shared" si="37"/>
        <v/>
      </c>
      <c r="K285" s="18" t="str">
        <f t="shared" si="38"/>
        <v/>
      </c>
      <c r="L285" s="27" t="str">
        <f t="shared" si="41"/>
        <v/>
      </c>
    </row>
    <row r="286" spans="2:12" x14ac:dyDescent="0.2">
      <c r="B286" s="15" t="str">
        <f t="shared" si="42"/>
        <v/>
      </c>
      <c r="C286" s="16" t="str">
        <f t="shared" si="43"/>
        <v/>
      </c>
      <c r="D286" s="17" t="str">
        <f t="shared" si="44"/>
        <v/>
      </c>
      <c r="E286" s="17" t="str">
        <f t="shared" si="36"/>
        <v/>
      </c>
      <c r="F286" s="17" t="str">
        <f t="shared" si="39"/>
        <v/>
      </c>
      <c r="G286" s="17" t="str">
        <f t="shared" si="40"/>
        <v/>
      </c>
      <c r="H286" s="17" t="str">
        <f>IF(B286="","",SUM($F$12:F286))</f>
        <v/>
      </c>
      <c r="I286" s="17" t="str">
        <f>IF(B286="","",SUM($G$12:G286))</f>
        <v/>
      </c>
      <c r="J286" s="17" t="str">
        <f t="shared" si="37"/>
        <v/>
      </c>
      <c r="K286" s="18" t="str">
        <f t="shared" si="38"/>
        <v/>
      </c>
      <c r="L286" s="27" t="str">
        <f t="shared" si="41"/>
        <v/>
      </c>
    </row>
    <row r="287" spans="2:12" x14ac:dyDescent="0.2">
      <c r="B287" s="15" t="str">
        <f t="shared" si="42"/>
        <v/>
      </c>
      <c r="C287" s="16" t="str">
        <f t="shared" si="43"/>
        <v/>
      </c>
      <c r="D287" s="17" t="str">
        <f t="shared" si="44"/>
        <v/>
      </c>
      <c r="E287" s="17" t="str">
        <f t="shared" si="36"/>
        <v/>
      </c>
      <c r="F287" s="17" t="str">
        <f t="shared" si="39"/>
        <v/>
      </c>
      <c r="G287" s="17" t="str">
        <f t="shared" si="40"/>
        <v/>
      </c>
      <c r="H287" s="17" t="str">
        <f>IF(B287="","",SUM($F$12:F287))</f>
        <v/>
      </c>
      <c r="I287" s="17" t="str">
        <f>IF(B287="","",SUM($G$12:G287))</f>
        <v/>
      </c>
      <c r="J287" s="17" t="str">
        <f t="shared" si="37"/>
        <v/>
      </c>
      <c r="K287" s="18" t="str">
        <f t="shared" si="38"/>
        <v/>
      </c>
      <c r="L287" s="27" t="str">
        <f t="shared" si="41"/>
        <v/>
      </c>
    </row>
    <row r="288" spans="2:12" x14ac:dyDescent="0.2">
      <c r="B288" s="15" t="str">
        <f t="shared" si="42"/>
        <v/>
      </c>
      <c r="C288" s="16" t="str">
        <f t="shared" si="43"/>
        <v/>
      </c>
      <c r="D288" s="17" t="str">
        <f t="shared" si="44"/>
        <v/>
      </c>
      <c r="E288" s="17" t="str">
        <f t="shared" si="36"/>
        <v/>
      </c>
      <c r="F288" s="17" t="str">
        <f t="shared" si="39"/>
        <v/>
      </c>
      <c r="G288" s="17" t="str">
        <f t="shared" si="40"/>
        <v/>
      </c>
      <c r="H288" s="17" t="str">
        <f>IF(B288="","",SUM($F$12:F288))</f>
        <v/>
      </c>
      <c r="I288" s="17" t="str">
        <f>IF(B288="","",SUM($G$12:G288))</f>
        <v/>
      </c>
      <c r="J288" s="17" t="str">
        <f t="shared" si="37"/>
        <v/>
      </c>
      <c r="K288" s="18" t="str">
        <f t="shared" si="38"/>
        <v/>
      </c>
      <c r="L288" s="27" t="str">
        <f t="shared" si="41"/>
        <v/>
      </c>
    </row>
    <row r="289" spans="2:12" x14ac:dyDescent="0.2">
      <c r="B289" s="15" t="str">
        <f t="shared" si="42"/>
        <v/>
      </c>
      <c r="C289" s="16" t="str">
        <f t="shared" si="43"/>
        <v/>
      </c>
      <c r="D289" s="17" t="str">
        <f t="shared" si="44"/>
        <v/>
      </c>
      <c r="E289" s="17" t="str">
        <f t="shared" si="36"/>
        <v/>
      </c>
      <c r="F289" s="17" t="str">
        <f t="shared" si="39"/>
        <v/>
      </c>
      <c r="G289" s="17" t="str">
        <f t="shared" si="40"/>
        <v/>
      </c>
      <c r="H289" s="17" t="str">
        <f>IF(B289="","",SUM($F$12:F289))</f>
        <v/>
      </c>
      <c r="I289" s="17" t="str">
        <f>IF(B289="","",SUM($G$12:G289))</f>
        <v/>
      </c>
      <c r="J289" s="17" t="str">
        <f t="shared" si="37"/>
        <v/>
      </c>
      <c r="K289" s="18" t="str">
        <f t="shared" si="38"/>
        <v/>
      </c>
      <c r="L289" s="27" t="str">
        <f t="shared" si="41"/>
        <v/>
      </c>
    </row>
    <row r="290" spans="2:12" x14ac:dyDescent="0.2">
      <c r="B290" s="15" t="str">
        <f t="shared" si="42"/>
        <v/>
      </c>
      <c r="C290" s="16" t="str">
        <f t="shared" si="43"/>
        <v/>
      </c>
      <c r="D290" s="17" t="str">
        <f t="shared" si="44"/>
        <v/>
      </c>
      <c r="E290" s="17" t="str">
        <f t="shared" si="36"/>
        <v/>
      </c>
      <c r="F290" s="17" t="str">
        <f t="shared" si="39"/>
        <v/>
      </c>
      <c r="G290" s="17" t="str">
        <f t="shared" si="40"/>
        <v/>
      </c>
      <c r="H290" s="17" t="str">
        <f>IF(B290="","",SUM($F$12:F290))</f>
        <v/>
      </c>
      <c r="I290" s="17" t="str">
        <f>IF(B290="","",SUM($G$12:G290))</f>
        <v/>
      </c>
      <c r="J290" s="17" t="str">
        <f t="shared" si="37"/>
        <v/>
      </c>
      <c r="K290" s="18" t="str">
        <f t="shared" si="38"/>
        <v/>
      </c>
      <c r="L290" s="27" t="str">
        <f t="shared" si="41"/>
        <v/>
      </c>
    </row>
    <row r="291" spans="2:12" x14ac:dyDescent="0.2">
      <c r="B291" s="15" t="str">
        <f t="shared" si="42"/>
        <v/>
      </c>
      <c r="C291" s="16" t="str">
        <f t="shared" si="43"/>
        <v/>
      </c>
      <c r="D291" s="17" t="str">
        <f t="shared" si="44"/>
        <v/>
      </c>
      <c r="E291" s="17" t="str">
        <f t="shared" si="36"/>
        <v/>
      </c>
      <c r="F291" s="17" t="str">
        <f t="shared" si="39"/>
        <v/>
      </c>
      <c r="G291" s="17" t="str">
        <f t="shared" si="40"/>
        <v/>
      </c>
      <c r="H291" s="17" t="str">
        <f>IF(B291="","",SUM($F$12:F291))</f>
        <v/>
      </c>
      <c r="I291" s="17" t="str">
        <f>IF(B291="","",SUM($G$12:G291))</f>
        <v/>
      </c>
      <c r="J291" s="17" t="str">
        <f t="shared" si="37"/>
        <v/>
      </c>
      <c r="K291" s="18" t="str">
        <f t="shared" si="38"/>
        <v/>
      </c>
      <c r="L291" s="27" t="str">
        <f t="shared" si="41"/>
        <v/>
      </c>
    </row>
    <row r="292" spans="2:12" x14ac:dyDescent="0.2">
      <c r="B292" s="15" t="str">
        <f t="shared" si="42"/>
        <v/>
      </c>
      <c r="C292" s="16" t="str">
        <f t="shared" si="43"/>
        <v/>
      </c>
      <c r="D292" s="17" t="str">
        <f t="shared" si="44"/>
        <v/>
      </c>
      <c r="E292" s="17" t="str">
        <f t="shared" si="36"/>
        <v/>
      </c>
      <c r="F292" s="17" t="str">
        <f t="shared" si="39"/>
        <v/>
      </c>
      <c r="G292" s="17" t="str">
        <f t="shared" si="40"/>
        <v/>
      </c>
      <c r="H292" s="17" t="str">
        <f>IF(B292="","",SUM($F$12:F292))</f>
        <v/>
      </c>
      <c r="I292" s="17" t="str">
        <f>IF(B292="","",SUM($G$12:G292))</f>
        <v/>
      </c>
      <c r="J292" s="17" t="str">
        <f t="shared" si="37"/>
        <v/>
      </c>
      <c r="K292" s="18" t="str">
        <f t="shared" si="38"/>
        <v/>
      </c>
      <c r="L292" s="27" t="str">
        <f t="shared" si="41"/>
        <v/>
      </c>
    </row>
    <row r="293" spans="2:12" x14ac:dyDescent="0.2">
      <c r="B293" s="15" t="str">
        <f t="shared" si="42"/>
        <v/>
      </c>
      <c r="C293" s="16" t="str">
        <f t="shared" si="43"/>
        <v/>
      </c>
      <c r="D293" s="17" t="str">
        <f t="shared" si="44"/>
        <v/>
      </c>
      <c r="E293" s="17" t="str">
        <f t="shared" si="36"/>
        <v/>
      </c>
      <c r="F293" s="17" t="str">
        <f t="shared" si="39"/>
        <v/>
      </c>
      <c r="G293" s="17" t="str">
        <f t="shared" si="40"/>
        <v/>
      </c>
      <c r="H293" s="17" t="str">
        <f>IF(B293="","",SUM($F$12:F293))</f>
        <v/>
      </c>
      <c r="I293" s="17" t="str">
        <f>IF(B293="","",SUM($G$12:G293))</f>
        <v/>
      </c>
      <c r="J293" s="17" t="str">
        <f t="shared" si="37"/>
        <v/>
      </c>
      <c r="K293" s="18" t="str">
        <f t="shared" si="38"/>
        <v/>
      </c>
      <c r="L293" s="27" t="str">
        <f t="shared" si="41"/>
        <v/>
      </c>
    </row>
    <row r="294" spans="2:12" x14ac:dyDescent="0.2">
      <c r="B294" s="15" t="str">
        <f t="shared" si="42"/>
        <v/>
      </c>
      <c r="C294" s="16" t="str">
        <f t="shared" si="43"/>
        <v/>
      </c>
      <c r="D294" s="17" t="str">
        <f t="shared" si="44"/>
        <v/>
      </c>
      <c r="E294" s="17" t="str">
        <f t="shared" si="36"/>
        <v/>
      </c>
      <c r="F294" s="17" t="str">
        <f t="shared" si="39"/>
        <v/>
      </c>
      <c r="G294" s="17" t="str">
        <f t="shared" si="40"/>
        <v/>
      </c>
      <c r="H294" s="17" t="str">
        <f>IF(B294="","",SUM($F$12:F294))</f>
        <v/>
      </c>
      <c r="I294" s="17" t="str">
        <f>IF(B294="","",SUM($G$12:G294))</f>
        <v/>
      </c>
      <c r="J294" s="17" t="str">
        <f t="shared" si="37"/>
        <v/>
      </c>
      <c r="K294" s="18" t="str">
        <f t="shared" si="38"/>
        <v/>
      </c>
      <c r="L294" s="27" t="str">
        <f t="shared" si="41"/>
        <v/>
      </c>
    </row>
    <row r="295" spans="2:12" x14ac:dyDescent="0.2">
      <c r="B295" s="15" t="str">
        <f t="shared" si="42"/>
        <v/>
      </c>
      <c r="C295" s="16" t="str">
        <f t="shared" si="43"/>
        <v/>
      </c>
      <c r="D295" s="17" t="str">
        <f t="shared" si="44"/>
        <v/>
      </c>
      <c r="E295" s="17" t="str">
        <f t="shared" si="36"/>
        <v/>
      </c>
      <c r="F295" s="17" t="str">
        <f t="shared" si="39"/>
        <v/>
      </c>
      <c r="G295" s="17" t="str">
        <f t="shared" si="40"/>
        <v/>
      </c>
      <c r="H295" s="17" t="str">
        <f>IF(B295="","",SUM($F$12:F295))</f>
        <v/>
      </c>
      <c r="I295" s="17" t="str">
        <f>IF(B295="","",SUM($G$12:G295))</f>
        <v/>
      </c>
      <c r="J295" s="17" t="str">
        <f t="shared" si="37"/>
        <v/>
      </c>
      <c r="K295" s="18" t="str">
        <f t="shared" si="38"/>
        <v/>
      </c>
      <c r="L295" s="27" t="str">
        <f t="shared" si="41"/>
        <v/>
      </c>
    </row>
    <row r="296" spans="2:12" x14ac:dyDescent="0.2">
      <c r="B296" s="15" t="str">
        <f t="shared" si="42"/>
        <v/>
      </c>
      <c r="C296" s="16" t="str">
        <f t="shared" si="43"/>
        <v/>
      </c>
      <c r="D296" s="17" t="str">
        <f t="shared" si="44"/>
        <v/>
      </c>
      <c r="E296" s="17" t="str">
        <f t="shared" si="36"/>
        <v/>
      </c>
      <c r="F296" s="17" t="str">
        <f t="shared" si="39"/>
        <v/>
      </c>
      <c r="G296" s="17" t="str">
        <f t="shared" si="40"/>
        <v/>
      </c>
      <c r="H296" s="17" t="str">
        <f>IF(B296="","",SUM($F$12:F296))</f>
        <v/>
      </c>
      <c r="I296" s="17" t="str">
        <f>IF(B296="","",SUM($G$12:G296))</f>
        <v/>
      </c>
      <c r="J296" s="17" t="str">
        <f t="shared" si="37"/>
        <v/>
      </c>
      <c r="K296" s="18" t="str">
        <f t="shared" si="38"/>
        <v/>
      </c>
      <c r="L296" s="27" t="str">
        <f t="shared" si="41"/>
        <v/>
      </c>
    </row>
    <row r="297" spans="2:12" x14ac:dyDescent="0.2">
      <c r="B297" s="15" t="str">
        <f t="shared" si="42"/>
        <v/>
      </c>
      <c r="C297" s="16" t="str">
        <f t="shared" si="43"/>
        <v/>
      </c>
      <c r="D297" s="17" t="str">
        <f t="shared" si="44"/>
        <v/>
      </c>
      <c r="E297" s="17" t="str">
        <f t="shared" si="36"/>
        <v/>
      </c>
      <c r="F297" s="17" t="str">
        <f t="shared" si="39"/>
        <v/>
      </c>
      <c r="G297" s="17" t="str">
        <f t="shared" si="40"/>
        <v/>
      </c>
      <c r="H297" s="17" t="str">
        <f>IF(B297="","",SUM($F$12:F297))</f>
        <v/>
      </c>
      <c r="I297" s="17" t="str">
        <f>IF(B297="","",SUM($G$12:G297))</f>
        <v/>
      </c>
      <c r="J297" s="17" t="str">
        <f t="shared" si="37"/>
        <v/>
      </c>
      <c r="K297" s="18" t="str">
        <f t="shared" si="38"/>
        <v/>
      </c>
      <c r="L297" s="27" t="str">
        <f t="shared" si="41"/>
        <v/>
      </c>
    </row>
    <row r="298" spans="2:12" x14ac:dyDescent="0.2">
      <c r="B298" s="15" t="str">
        <f t="shared" si="42"/>
        <v/>
      </c>
      <c r="C298" s="16" t="str">
        <f t="shared" si="43"/>
        <v/>
      </c>
      <c r="D298" s="17" t="str">
        <f t="shared" si="44"/>
        <v/>
      </c>
      <c r="E298" s="17" t="str">
        <f t="shared" si="36"/>
        <v/>
      </c>
      <c r="F298" s="17" t="str">
        <f t="shared" si="39"/>
        <v/>
      </c>
      <c r="G298" s="17" t="str">
        <f t="shared" si="40"/>
        <v/>
      </c>
      <c r="H298" s="17" t="str">
        <f>IF(B298="","",SUM($F$12:F298))</f>
        <v/>
      </c>
      <c r="I298" s="17" t="str">
        <f>IF(B298="","",SUM($G$12:G298))</f>
        <v/>
      </c>
      <c r="J298" s="17" t="str">
        <f t="shared" si="37"/>
        <v/>
      </c>
      <c r="K298" s="18" t="str">
        <f t="shared" si="38"/>
        <v/>
      </c>
      <c r="L298" s="27" t="str">
        <f t="shared" si="41"/>
        <v/>
      </c>
    </row>
    <row r="299" spans="2:12" x14ac:dyDescent="0.2">
      <c r="B299" s="15" t="str">
        <f t="shared" si="42"/>
        <v/>
      </c>
      <c r="C299" s="16" t="str">
        <f t="shared" si="43"/>
        <v/>
      </c>
      <c r="D299" s="17" t="str">
        <f t="shared" si="44"/>
        <v/>
      </c>
      <c r="E299" s="17" t="str">
        <f t="shared" si="36"/>
        <v/>
      </c>
      <c r="F299" s="17" t="str">
        <f t="shared" si="39"/>
        <v/>
      </c>
      <c r="G299" s="17" t="str">
        <f t="shared" si="40"/>
        <v/>
      </c>
      <c r="H299" s="17" t="str">
        <f>IF(B299="","",SUM($F$12:F299))</f>
        <v/>
      </c>
      <c r="I299" s="17" t="str">
        <f>IF(B299="","",SUM($G$12:G299))</f>
        <v/>
      </c>
      <c r="J299" s="17" t="str">
        <f t="shared" si="37"/>
        <v/>
      </c>
      <c r="K299" s="18" t="str">
        <f t="shared" si="38"/>
        <v/>
      </c>
      <c r="L299" s="27" t="str">
        <f t="shared" si="41"/>
        <v/>
      </c>
    </row>
    <row r="300" spans="2:12" x14ac:dyDescent="0.2">
      <c r="B300" s="15" t="str">
        <f t="shared" si="42"/>
        <v/>
      </c>
      <c r="C300" s="16" t="str">
        <f t="shared" si="43"/>
        <v/>
      </c>
      <c r="D300" s="17" t="str">
        <f t="shared" si="44"/>
        <v/>
      </c>
      <c r="E300" s="17" t="str">
        <f t="shared" si="36"/>
        <v/>
      </c>
      <c r="F300" s="17" t="str">
        <f t="shared" si="39"/>
        <v/>
      </c>
      <c r="G300" s="17" t="str">
        <f t="shared" si="40"/>
        <v/>
      </c>
      <c r="H300" s="17" t="str">
        <f>IF(B300="","",SUM($F$12:F300))</f>
        <v/>
      </c>
      <c r="I300" s="17" t="str">
        <f>IF(B300="","",SUM($G$12:G300))</f>
        <v/>
      </c>
      <c r="J300" s="17" t="str">
        <f t="shared" si="37"/>
        <v/>
      </c>
      <c r="K300" s="18" t="str">
        <f t="shared" si="38"/>
        <v/>
      </c>
      <c r="L300" s="27" t="str">
        <f t="shared" si="41"/>
        <v/>
      </c>
    </row>
    <row r="301" spans="2:12" x14ac:dyDescent="0.2">
      <c r="B301" s="15" t="str">
        <f t="shared" si="42"/>
        <v/>
      </c>
      <c r="C301" s="16" t="str">
        <f t="shared" si="43"/>
        <v/>
      </c>
      <c r="D301" s="17" t="str">
        <f t="shared" si="44"/>
        <v/>
      </c>
      <c r="E301" s="17" t="str">
        <f t="shared" si="36"/>
        <v/>
      </c>
      <c r="F301" s="17" t="str">
        <f t="shared" si="39"/>
        <v/>
      </c>
      <c r="G301" s="17" t="str">
        <f t="shared" si="40"/>
        <v/>
      </c>
      <c r="H301" s="17" t="str">
        <f>IF(B301="","",SUM($F$12:F301))</f>
        <v/>
      </c>
      <c r="I301" s="17" t="str">
        <f>IF(B301="","",SUM($G$12:G301))</f>
        <v/>
      </c>
      <c r="J301" s="17" t="str">
        <f t="shared" si="37"/>
        <v/>
      </c>
      <c r="K301" s="18" t="str">
        <f t="shared" si="38"/>
        <v/>
      </c>
      <c r="L301" s="27" t="str">
        <f t="shared" si="41"/>
        <v/>
      </c>
    </row>
    <row r="302" spans="2:12" x14ac:dyDescent="0.2">
      <c r="B302" s="15" t="str">
        <f t="shared" si="42"/>
        <v/>
      </c>
      <c r="C302" s="16" t="str">
        <f t="shared" si="43"/>
        <v/>
      </c>
      <c r="D302" s="17" t="str">
        <f t="shared" si="44"/>
        <v/>
      </c>
      <c r="E302" s="17" t="str">
        <f t="shared" si="36"/>
        <v/>
      </c>
      <c r="F302" s="17" t="str">
        <f t="shared" si="39"/>
        <v/>
      </c>
      <c r="G302" s="17" t="str">
        <f t="shared" si="40"/>
        <v/>
      </c>
      <c r="H302" s="17" t="str">
        <f>IF(B302="","",SUM($F$12:F302))</f>
        <v/>
      </c>
      <c r="I302" s="17" t="str">
        <f>IF(B302="","",SUM($G$12:G302))</f>
        <v/>
      </c>
      <c r="J302" s="17" t="str">
        <f t="shared" si="37"/>
        <v/>
      </c>
      <c r="K302" s="18" t="str">
        <f t="shared" si="38"/>
        <v/>
      </c>
      <c r="L302" s="27" t="str">
        <f t="shared" si="41"/>
        <v/>
      </c>
    </row>
    <row r="303" spans="2:12" x14ac:dyDescent="0.2">
      <c r="B303" s="15" t="str">
        <f t="shared" si="42"/>
        <v/>
      </c>
      <c r="C303" s="16" t="str">
        <f t="shared" si="43"/>
        <v/>
      </c>
      <c r="D303" s="17" t="str">
        <f t="shared" si="44"/>
        <v/>
      </c>
      <c r="E303" s="17" t="str">
        <f t="shared" si="36"/>
        <v/>
      </c>
      <c r="F303" s="17" t="str">
        <f t="shared" si="39"/>
        <v/>
      </c>
      <c r="G303" s="17" t="str">
        <f t="shared" si="40"/>
        <v/>
      </c>
      <c r="H303" s="17" t="str">
        <f>IF(B303="","",SUM($F$12:F303))</f>
        <v/>
      </c>
      <c r="I303" s="17" t="str">
        <f>IF(B303="","",SUM($G$12:G303))</f>
        <v/>
      </c>
      <c r="J303" s="17" t="str">
        <f t="shared" si="37"/>
        <v/>
      </c>
      <c r="K303" s="18" t="str">
        <f t="shared" si="38"/>
        <v/>
      </c>
      <c r="L303" s="27" t="str">
        <f t="shared" si="41"/>
        <v/>
      </c>
    </row>
    <row r="304" spans="2:12" x14ac:dyDescent="0.2">
      <c r="B304" s="15" t="str">
        <f t="shared" si="42"/>
        <v/>
      </c>
      <c r="C304" s="16" t="str">
        <f t="shared" si="43"/>
        <v/>
      </c>
      <c r="D304" s="17" t="str">
        <f t="shared" si="44"/>
        <v/>
      </c>
      <c r="E304" s="17" t="str">
        <f t="shared" si="36"/>
        <v/>
      </c>
      <c r="F304" s="17" t="str">
        <f t="shared" si="39"/>
        <v/>
      </c>
      <c r="G304" s="17" t="str">
        <f t="shared" si="40"/>
        <v/>
      </c>
      <c r="H304" s="17" t="str">
        <f>IF(B304="","",SUM($F$12:F304))</f>
        <v/>
      </c>
      <c r="I304" s="17" t="str">
        <f>IF(B304="","",SUM($G$12:G304))</f>
        <v/>
      </c>
      <c r="J304" s="17" t="str">
        <f t="shared" si="37"/>
        <v/>
      </c>
      <c r="K304" s="18" t="str">
        <f t="shared" si="38"/>
        <v/>
      </c>
      <c r="L304" s="27" t="str">
        <f t="shared" si="41"/>
        <v/>
      </c>
    </row>
    <row r="305" spans="2:12" x14ac:dyDescent="0.2">
      <c r="B305" s="15" t="str">
        <f t="shared" si="42"/>
        <v/>
      </c>
      <c r="C305" s="16" t="str">
        <f t="shared" si="43"/>
        <v/>
      </c>
      <c r="D305" s="17" t="str">
        <f t="shared" si="44"/>
        <v/>
      </c>
      <c r="E305" s="17" t="str">
        <f t="shared" si="36"/>
        <v/>
      </c>
      <c r="F305" s="17" t="str">
        <f t="shared" si="39"/>
        <v/>
      </c>
      <c r="G305" s="17" t="str">
        <f t="shared" si="40"/>
        <v/>
      </c>
      <c r="H305" s="17" t="str">
        <f>IF(B305="","",SUM($F$12:F305))</f>
        <v/>
      </c>
      <c r="I305" s="17" t="str">
        <f>IF(B305="","",SUM($G$12:G305))</f>
        <v/>
      </c>
      <c r="J305" s="17" t="str">
        <f t="shared" si="37"/>
        <v/>
      </c>
      <c r="K305" s="18" t="str">
        <f t="shared" si="38"/>
        <v/>
      </c>
      <c r="L305" s="27" t="str">
        <f t="shared" si="41"/>
        <v/>
      </c>
    </row>
    <row r="306" spans="2:12" x14ac:dyDescent="0.2">
      <c r="B306" s="15" t="str">
        <f t="shared" si="42"/>
        <v/>
      </c>
      <c r="C306" s="16" t="str">
        <f t="shared" si="43"/>
        <v/>
      </c>
      <c r="D306" s="17" t="str">
        <f t="shared" si="44"/>
        <v/>
      </c>
      <c r="E306" s="17" t="str">
        <f t="shared" si="36"/>
        <v/>
      </c>
      <c r="F306" s="17" t="str">
        <f t="shared" si="39"/>
        <v/>
      </c>
      <c r="G306" s="17" t="str">
        <f t="shared" si="40"/>
        <v/>
      </c>
      <c r="H306" s="17" t="str">
        <f>IF(B306="","",SUM($F$12:F306))</f>
        <v/>
      </c>
      <c r="I306" s="17" t="str">
        <f>IF(B306="","",SUM($G$12:G306))</f>
        <v/>
      </c>
      <c r="J306" s="17" t="str">
        <f t="shared" si="37"/>
        <v/>
      </c>
      <c r="K306" s="18" t="str">
        <f t="shared" si="38"/>
        <v/>
      </c>
      <c r="L306" s="27" t="str">
        <f t="shared" si="41"/>
        <v/>
      </c>
    </row>
    <row r="307" spans="2:12" x14ac:dyDescent="0.2">
      <c r="B307" s="15" t="str">
        <f t="shared" si="42"/>
        <v/>
      </c>
      <c r="C307" s="16" t="str">
        <f t="shared" si="43"/>
        <v/>
      </c>
      <c r="D307" s="17" t="str">
        <f t="shared" si="44"/>
        <v/>
      </c>
      <c r="E307" s="17" t="str">
        <f t="shared" si="36"/>
        <v/>
      </c>
      <c r="F307" s="17" t="str">
        <f t="shared" si="39"/>
        <v/>
      </c>
      <c r="G307" s="17" t="str">
        <f t="shared" si="40"/>
        <v/>
      </c>
      <c r="H307" s="17" t="str">
        <f>IF(B307="","",SUM($F$12:F307))</f>
        <v/>
      </c>
      <c r="I307" s="17" t="str">
        <f>IF(B307="","",SUM($G$12:G307))</f>
        <v/>
      </c>
      <c r="J307" s="17" t="str">
        <f t="shared" si="37"/>
        <v/>
      </c>
      <c r="K307" s="18" t="str">
        <f t="shared" si="38"/>
        <v/>
      </c>
      <c r="L307" s="27" t="str">
        <f t="shared" si="41"/>
        <v/>
      </c>
    </row>
    <row r="308" spans="2:12" x14ac:dyDescent="0.2">
      <c r="B308" s="15" t="str">
        <f t="shared" si="42"/>
        <v/>
      </c>
      <c r="C308" s="16" t="str">
        <f t="shared" si="43"/>
        <v/>
      </c>
      <c r="D308" s="17" t="str">
        <f t="shared" si="44"/>
        <v/>
      </c>
      <c r="E308" s="17" t="str">
        <f t="shared" si="36"/>
        <v/>
      </c>
      <c r="F308" s="17" t="str">
        <f t="shared" si="39"/>
        <v/>
      </c>
      <c r="G308" s="17" t="str">
        <f t="shared" si="40"/>
        <v/>
      </c>
      <c r="H308" s="17" t="str">
        <f>IF(B308="","",SUM($F$12:F308))</f>
        <v/>
      </c>
      <c r="I308" s="17" t="str">
        <f>IF(B308="","",SUM($G$12:G308))</f>
        <v/>
      </c>
      <c r="J308" s="17" t="str">
        <f t="shared" si="37"/>
        <v/>
      </c>
      <c r="K308" s="18" t="str">
        <f t="shared" si="38"/>
        <v/>
      </c>
      <c r="L308" s="27" t="str">
        <f t="shared" si="41"/>
        <v/>
      </c>
    </row>
    <row r="309" spans="2:12" x14ac:dyDescent="0.2">
      <c r="B309" s="15" t="str">
        <f t="shared" si="42"/>
        <v/>
      </c>
      <c r="C309" s="16" t="str">
        <f t="shared" si="43"/>
        <v/>
      </c>
      <c r="D309" s="17" t="str">
        <f t="shared" si="44"/>
        <v/>
      </c>
      <c r="E309" s="17" t="str">
        <f t="shared" si="36"/>
        <v/>
      </c>
      <c r="F309" s="17" t="str">
        <f t="shared" si="39"/>
        <v/>
      </c>
      <c r="G309" s="17" t="str">
        <f t="shared" si="40"/>
        <v/>
      </c>
      <c r="H309" s="17" t="str">
        <f>IF(B309="","",SUM($F$12:F309))</f>
        <v/>
      </c>
      <c r="I309" s="17" t="str">
        <f>IF(B309="","",SUM($G$12:G309))</f>
        <v/>
      </c>
      <c r="J309" s="17" t="str">
        <f t="shared" si="37"/>
        <v/>
      </c>
      <c r="K309" s="18" t="str">
        <f t="shared" si="38"/>
        <v/>
      </c>
      <c r="L309" s="27" t="str">
        <f t="shared" si="41"/>
        <v/>
      </c>
    </row>
    <row r="310" spans="2:12" x14ac:dyDescent="0.2">
      <c r="B310" s="15" t="str">
        <f t="shared" si="42"/>
        <v/>
      </c>
      <c r="C310" s="16" t="str">
        <f t="shared" si="43"/>
        <v/>
      </c>
      <c r="D310" s="17" t="str">
        <f t="shared" si="44"/>
        <v/>
      </c>
      <c r="E310" s="17" t="str">
        <f t="shared" si="36"/>
        <v/>
      </c>
      <c r="F310" s="17" t="str">
        <f t="shared" si="39"/>
        <v/>
      </c>
      <c r="G310" s="17" t="str">
        <f t="shared" si="40"/>
        <v/>
      </c>
      <c r="H310" s="17" t="str">
        <f>IF(B310="","",SUM($F$12:F310))</f>
        <v/>
      </c>
      <c r="I310" s="17" t="str">
        <f>IF(B310="","",SUM($G$12:G310))</f>
        <v/>
      </c>
      <c r="J310" s="17" t="str">
        <f t="shared" si="37"/>
        <v/>
      </c>
      <c r="K310" s="18" t="str">
        <f t="shared" si="38"/>
        <v/>
      </c>
      <c r="L310" s="27" t="str">
        <f t="shared" si="41"/>
        <v/>
      </c>
    </row>
    <row r="311" spans="2:12" x14ac:dyDescent="0.2">
      <c r="B311" s="15" t="str">
        <f t="shared" si="42"/>
        <v/>
      </c>
      <c r="C311" s="16" t="str">
        <f t="shared" si="43"/>
        <v/>
      </c>
      <c r="D311" s="17" t="str">
        <f t="shared" si="44"/>
        <v/>
      </c>
      <c r="E311" s="17" t="str">
        <f t="shared" si="36"/>
        <v/>
      </c>
      <c r="F311" s="17" t="str">
        <f t="shared" si="39"/>
        <v/>
      </c>
      <c r="G311" s="17" t="str">
        <f t="shared" si="40"/>
        <v/>
      </c>
      <c r="H311" s="17" t="str">
        <f>IF(B311="","",SUM($F$12:F311))</f>
        <v/>
      </c>
      <c r="I311" s="17" t="str">
        <f>IF(B311="","",SUM($G$12:G311))</f>
        <v/>
      </c>
      <c r="J311" s="17" t="str">
        <f t="shared" si="37"/>
        <v/>
      </c>
      <c r="K311" s="18" t="str">
        <f t="shared" si="38"/>
        <v/>
      </c>
      <c r="L311" s="27" t="str">
        <f t="shared" si="41"/>
        <v/>
      </c>
    </row>
    <row r="312" spans="2:12" x14ac:dyDescent="0.2">
      <c r="B312" s="15" t="str">
        <f t="shared" si="42"/>
        <v/>
      </c>
      <c r="C312" s="16" t="str">
        <f t="shared" si="43"/>
        <v/>
      </c>
      <c r="D312" s="17" t="str">
        <f t="shared" si="44"/>
        <v/>
      </c>
      <c r="E312" s="17" t="str">
        <f t="shared" si="36"/>
        <v/>
      </c>
      <c r="F312" s="17" t="str">
        <f t="shared" si="39"/>
        <v/>
      </c>
      <c r="G312" s="17" t="str">
        <f t="shared" si="40"/>
        <v/>
      </c>
      <c r="H312" s="17" t="str">
        <f>IF(B312="","",SUM($F$12:F312))</f>
        <v/>
      </c>
      <c r="I312" s="17" t="str">
        <f>IF(B312="","",SUM($G$12:G312))</f>
        <v/>
      </c>
      <c r="J312" s="17" t="str">
        <f t="shared" si="37"/>
        <v/>
      </c>
      <c r="K312" s="18" t="str">
        <f t="shared" si="38"/>
        <v/>
      </c>
      <c r="L312" s="27" t="str">
        <f t="shared" si="41"/>
        <v/>
      </c>
    </row>
    <row r="313" spans="2:12" x14ac:dyDescent="0.2">
      <c r="B313" s="15" t="str">
        <f t="shared" si="42"/>
        <v/>
      </c>
      <c r="C313" s="16" t="str">
        <f t="shared" si="43"/>
        <v/>
      </c>
      <c r="D313" s="17" t="str">
        <f t="shared" si="44"/>
        <v/>
      </c>
      <c r="E313" s="17" t="str">
        <f t="shared" si="36"/>
        <v/>
      </c>
      <c r="F313" s="17" t="str">
        <f t="shared" si="39"/>
        <v/>
      </c>
      <c r="G313" s="17" t="str">
        <f t="shared" si="40"/>
        <v/>
      </c>
      <c r="H313" s="17" t="str">
        <f>IF(B313="","",SUM($F$12:F313))</f>
        <v/>
      </c>
      <c r="I313" s="17" t="str">
        <f>IF(B313="","",SUM($G$12:G313))</f>
        <v/>
      </c>
      <c r="J313" s="17" t="str">
        <f t="shared" si="37"/>
        <v/>
      </c>
      <c r="K313" s="18" t="str">
        <f t="shared" si="38"/>
        <v/>
      </c>
      <c r="L313" s="27" t="str">
        <f t="shared" si="41"/>
        <v/>
      </c>
    </row>
    <row r="314" spans="2:12" x14ac:dyDescent="0.2">
      <c r="B314" s="15" t="str">
        <f t="shared" si="42"/>
        <v/>
      </c>
      <c r="C314" s="16" t="str">
        <f t="shared" si="43"/>
        <v/>
      </c>
      <c r="D314" s="17" t="str">
        <f t="shared" si="44"/>
        <v/>
      </c>
      <c r="E314" s="17" t="str">
        <f t="shared" si="36"/>
        <v/>
      </c>
      <c r="F314" s="17" t="str">
        <f t="shared" si="39"/>
        <v/>
      </c>
      <c r="G314" s="17" t="str">
        <f t="shared" si="40"/>
        <v/>
      </c>
      <c r="H314" s="17" t="str">
        <f>IF(B314="","",SUM($F$12:F314))</f>
        <v/>
      </c>
      <c r="I314" s="17" t="str">
        <f>IF(B314="","",SUM($G$12:G314))</f>
        <v/>
      </c>
      <c r="J314" s="17" t="str">
        <f t="shared" si="37"/>
        <v/>
      </c>
      <c r="K314" s="18" t="str">
        <f t="shared" si="38"/>
        <v/>
      </c>
      <c r="L314" s="27" t="str">
        <f t="shared" si="41"/>
        <v/>
      </c>
    </row>
    <row r="315" spans="2:12" x14ac:dyDescent="0.2">
      <c r="B315" s="15" t="str">
        <f t="shared" si="42"/>
        <v/>
      </c>
      <c r="C315" s="16" t="str">
        <f t="shared" si="43"/>
        <v/>
      </c>
      <c r="D315" s="17" t="str">
        <f t="shared" si="44"/>
        <v/>
      </c>
      <c r="E315" s="17" t="str">
        <f t="shared" si="36"/>
        <v/>
      </c>
      <c r="F315" s="17" t="str">
        <f t="shared" si="39"/>
        <v/>
      </c>
      <c r="G315" s="17" t="str">
        <f t="shared" si="40"/>
        <v/>
      </c>
      <c r="H315" s="17" t="str">
        <f>IF(B315="","",SUM($F$12:F315))</f>
        <v/>
      </c>
      <c r="I315" s="17" t="str">
        <f>IF(B315="","",SUM($G$12:G315))</f>
        <v/>
      </c>
      <c r="J315" s="17" t="str">
        <f t="shared" si="37"/>
        <v/>
      </c>
      <c r="K315" s="18" t="str">
        <f t="shared" si="38"/>
        <v/>
      </c>
      <c r="L315" s="27" t="str">
        <f t="shared" si="41"/>
        <v/>
      </c>
    </row>
    <row r="316" spans="2:12" x14ac:dyDescent="0.2">
      <c r="B316" s="15" t="str">
        <f t="shared" si="42"/>
        <v/>
      </c>
      <c r="C316" s="16" t="str">
        <f t="shared" si="43"/>
        <v/>
      </c>
      <c r="D316" s="17" t="str">
        <f t="shared" si="44"/>
        <v/>
      </c>
      <c r="E316" s="17" t="str">
        <f t="shared" si="36"/>
        <v/>
      </c>
      <c r="F316" s="17" t="str">
        <f t="shared" si="39"/>
        <v/>
      </c>
      <c r="G316" s="17" t="str">
        <f t="shared" si="40"/>
        <v/>
      </c>
      <c r="H316" s="17" t="str">
        <f>IF(B316="","",SUM($F$12:F316))</f>
        <v/>
      </c>
      <c r="I316" s="17" t="str">
        <f>IF(B316="","",SUM($G$12:G316))</f>
        <v/>
      </c>
      <c r="J316" s="17" t="str">
        <f t="shared" si="37"/>
        <v/>
      </c>
      <c r="K316" s="18" t="str">
        <f t="shared" si="38"/>
        <v/>
      </c>
      <c r="L316" s="27" t="str">
        <f t="shared" si="41"/>
        <v/>
      </c>
    </row>
    <row r="317" spans="2:12" x14ac:dyDescent="0.2">
      <c r="B317" s="15" t="str">
        <f t="shared" si="42"/>
        <v/>
      </c>
      <c r="C317" s="16" t="str">
        <f t="shared" si="43"/>
        <v/>
      </c>
      <c r="D317" s="17" t="str">
        <f t="shared" si="44"/>
        <v/>
      </c>
      <c r="E317" s="17" t="str">
        <f t="shared" si="36"/>
        <v/>
      </c>
      <c r="F317" s="17" t="str">
        <f t="shared" si="39"/>
        <v/>
      </c>
      <c r="G317" s="17" t="str">
        <f t="shared" si="40"/>
        <v/>
      </c>
      <c r="H317" s="17" t="str">
        <f>IF(B317="","",SUM($F$12:F317))</f>
        <v/>
      </c>
      <c r="I317" s="17" t="str">
        <f>IF(B317="","",SUM($G$12:G317))</f>
        <v/>
      </c>
      <c r="J317" s="17" t="str">
        <f t="shared" si="37"/>
        <v/>
      </c>
      <c r="K317" s="18" t="str">
        <f t="shared" si="38"/>
        <v/>
      </c>
      <c r="L317" s="27" t="str">
        <f t="shared" si="41"/>
        <v/>
      </c>
    </row>
    <row r="318" spans="2:12" x14ac:dyDescent="0.2">
      <c r="B318" s="15" t="str">
        <f t="shared" si="42"/>
        <v/>
      </c>
      <c r="C318" s="16" t="str">
        <f t="shared" si="43"/>
        <v/>
      </c>
      <c r="D318" s="17" t="str">
        <f t="shared" si="44"/>
        <v/>
      </c>
      <c r="E318" s="17" t="str">
        <f t="shared" si="36"/>
        <v/>
      </c>
      <c r="F318" s="17" t="str">
        <f t="shared" si="39"/>
        <v/>
      </c>
      <c r="G318" s="17" t="str">
        <f t="shared" si="40"/>
        <v/>
      </c>
      <c r="H318" s="17" t="str">
        <f>IF(B318="","",SUM($F$12:F318))</f>
        <v/>
      </c>
      <c r="I318" s="17" t="str">
        <f>IF(B318="","",SUM($G$12:G318))</f>
        <v/>
      </c>
      <c r="J318" s="17" t="str">
        <f t="shared" si="37"/>
        <v/>
      </c>
      <c r="K318" s="18" t="str">
        <f t="shared" si="38"/>
        <v/>
      </c>
      <c r="L318" s="27" t="str">
        <f t="shared" si="41"/>
        <v/>
      </c>
    </row>
    <row r="319" spans="2:12" x14ac:dyDescent="0.2">
      <c r="B319" s="15" t="str">
        <f t="shared" si="42"/>
        <v/>
      </c>
      <c r="C319" s="16" t="str">
        <f t="shared" si="43"/>
        <v/>
      </c>
      <c r="D319" s="17" t="str">
        <f t="shared" si="44"/>
        <v/>
      </c>
      <c r="E319" s="17" t="str">
        <f t="shared" si="36"/>
        <v/>
      </c>
      <c r="F319" s="17" t="str">
        <f t="shared" si="39"/>
        <v/>
      </c>
      <c r="G319" s="17" t="str">
        <f t="shared" si="40"/>
        <v/>
      </c>
      <c r="H319" s="17" t="str">
        <f>IF(B319="","",SUM($F$12:F319))</f>
        <v/>
      </c>
      <c r="I319" s="17" t="str">
        <f>IF(B319="","",SUM($G$12:G319))</f>
        <v/>
      </c>
      <c r="J319" s="17" t="str">
        <f t="shared" si="37"/>
        <v/>
      </c>
      <c r="K319" s="18" t="str">
        <f t="shared" si="38"/>
        <v/>
      </c>
      <c r="L319" s="27" t="str">
        <f t="shared" si="41"/>
        <v/>
      </c>
    </row>
    <row r="320" spans="2:12" x14ac:dyDescent="0.2">
      <c r="B320" s="15" t="str">
        <f t="shared" si="42"/>
        <v/>
      </c>
      <c r="C320" s="16" t="str">
        <f t="shared" si="43"/>
        <v/>
      </c>
      <c r="D320" s="17" t="str">
        <f t="shared" si="44"/>
        <v/>
      </c>
      <c r="E320" s="17" t="str">
        <f t="shared" si="36"/>
        <v/>
      </c>
      <c r="F320" s="17" t="str">
        <f t="shared" si="39"/>
        <v/>
      </c>
      <c r="G320" s="17" t="str">
        <f t="shared" si="40"/>
        <v/>
      </c>
      <c r="H320" s="17" t="str">
        <f>IF(B320="","",SUM($F$12:F320))</f>
        <v/>
      </c>
      <c r="I320" s="17" t="str">
        <f>IF(B320="","",SUM($G$12:G320))</f>
        <v/>
      </c>
      <c r="J320" s="17" t="str">
        <f t="shared" si="37"/>
        <v/>
      </c>
      <c r="K320" s="18" t="str">
        <f t="shared" si="38"/>
        <v/>
      </c>
      <c r="L320" s="27" t="str">
        <f t="shared" si="41"/>
        <v/>
      </c>
    </row>
    <row r="321" spans="2:12" x14ac:dyDescent="0.2">
      <c r="B321" s="15" t="str">
        <f t="shared" si="42"/>
        <v/>
      </c>
      <c r="C321" s="16" t="str">
        <f t="shared" si="43"/>
        <v/>
      </c>
      <c r="D321" s="17" t="str">
        <f t="shared" si="44"/>
        <v/>
      </c>
      <c r="E321" s="17" t="str">
        <f t="shared" ref="E321:E336" si="45">IF(B321="","",PMT($H$9/12,$K$9*12,-$D$9))</f>
        <v/>
      </c>
      <c r="F321" s="17" t="str">
        <f t="shared" si="39"/>
        <v/>
      </c>
      <c r="G321" s="17" t="str">
        <f t="shared" si="40"/>
        <v/>
      </c>
      <c r="H321" s="17" t="str">
        <f>IF(B321="","",SUM($F$12:F321))</f>
        <v/>
      </c>
      <c r="I321" s="17" t="str">
        <f>IF(B321="","",SUM($G$12:G321))</f>
        <v/>
      </c>
      <c r="J321" s="17" t="str">
        <f t="shared" ref="J321:J336" si="46">IF(B321="","",$E$12*B321)</f>
        <v/>
      </c>
      <c r="K321" s="18" t="str">
        <f t="shared" ref="K321:K336" si="47">IF(B321="","",D321-G321)</f>
        <v/>
      </c>
      <c r="L321" s="27" t="str">
        <f t="shared" si="41"/>
        <v/>
      </c>
    </row>
    <row r="322" spans="2:12" x14ac:dyDescent="0.2">
      <c r="B322" s="15" t="str">
        <f t="shared" si="42"/>
        <v/>
      </c>
      <c r="C322" s="16" t="str">
        <f t="shared" si="43"/>
        <v/>
      </c>
      <c r="D322" s="17" t="str">
        <f t="shared" si="44"/>
        <v/>
      </c>
      <c r="E322" s="17" t="str">
        <f t="shared" si="45"/>
        <v/>
      </c>
      <c r="F322" s="17" t="str">
        <f t="shared" si="39"/>
        <v/>
      </c>
      <c r="G322" s="17" t="str">
        <f t="shared" si="40"/>
        <v/>
      </c>
      <c r="H322" s="17" t="str">
        <f>IF(B322="","",SUM($F$12:F322))</f>
        <v/>
      </c>
      <c r="I322" s="17" t="str">
        <f>IF(B322="","",SUM($G$12:G322))</f>
        <v/>
      </c>
      <c r="J322" s="17" t="str">
        <f t="shared" si="46"/>
        <v/>
      </c>
      <c r="K322" s="18" t="str">
        <f t="shared" si="47"/>
        <v/>
      </c>
      <c r="L322" s="27" t="str">
        <f t="shared" si="41"/>
        <v/>
      </c>
    </row>
    <row r="323" spans="2:12" x14ac:dyDescent="0.2">
      <c r="B323" s="15" t="str">
        <f t="shared" si="42"/>
        <v/>
      </c>
      <c r="C323" s="16" t="str">
        <f t="shared" si="43"/>
        <v/>
      </c>
      <c r="D323" s="17" t="str">
        <f t="shared" si="44"/>
        <v/>
      </c>
      <c r="E323" s="17" t="str">
        <f t="shared" si="45"/>
        <v/>
      </c>
      <c r="F323" s="17" t="str">
        <f t="shared" si="39"/>
        <v/>
      </c>
      <c r="G323" s="17" t="str">
        <f t="shared" si="40"/>
        <v/>
      </c>
      <c r="H323" s="17" t="str">
        <f>IF(B323="","",SUM($F$12:F323))</f>
        <v/>
      </c>
      <c r="I323" s="17" t="str">
        <f>IF(B323="","",SUM($G$12:G323))</f>
        <v/>
      </c>
      <c r="J323" s="17" t="str">
        <f t="shared" si="46"/>
        <v/>
      </c>
      <c r="K323" s="18" t="str">
        <f t="shared" si="47"/>
        <v/>
      </c>
      <c r="L323" s="27" t="str">
        <f t="shared" si="41"/>
        <v/>
      </c>
    </row>
    <row r="324" spans="2:12" x14ac:dyDescent="0.2">
      <c r="B324" s="15" t="str">
        <f t="shared" si="42"/>
        <v/>
      </c>
      <c r="C324" s="16" t="str">
        <f t="shared" si="43"/>
        <v/>
      </c>
      <c r="D324" s="17" t="str">
        <f t="shared" si="44"/>
        <v/>
      </c>
      <c r="E324" s="17" t="str">
        <f t="shared" si="45"/>
        <v/>
      </c>
      <c r="F324" s="17" t="str">
        <f t="shared" si="39"/>
        <v/>
      </c>
      <c r="G324" s="17" t="str">
        <f t="shared" si="40"/>
        <v/>
      </c>
      <c r="H324" s="17" t="str">
        <f>IF(B324="","",SUM($F$12:F324))</f>
        <v/>
      </c>
      <c r="I324" s="17" t="str">
        <f>IF(B324="","",SUM($G$12:G324))</f>
        <v/>
      </c>
      <c r="J324" s="17" t="str">
        <f t="shared" si="46"/>
        <v/>
      </c>
      <c r="K324" s="18" t="str">
        <f t="shared" si="47"/>
        <v/>
      </c>
      <c r="L324" s="27" t="str">
        <f t="shared" si="41"/>
        <v/>
      </c>
    </row>
    <row r="325" spans="2:12" x14ac:dyDescent="0.2">
      <c r="B325" s="15" t="str">
        <f t="shared" si="42"/>
        <v/>
      </c>
      <c r="C325" s="16" t="str">
        <f t="shared" si="43"/>
        <v/>
      </c>
      <c r="D325" s="17" t="str">
        <f t="shared" si="44"/>
        <v/>
      </c>
      <c r="E325" s="17" t="str">
        <f t="shared" si="45"/>
        <v/>
      </c>
      <c r="F325" s="17" t="str">
        <f t="shared" si="39"/>
        <v/>
      </c>
      <c r="G325" s="17" t="str">
        <f t="shared" si="40"/>
        <v/>
      </c>
      <c r="H325" s="17" t="str">
        <f>IF(B325="","",SUM($F$12:F325))</f>
        <v/>
      </c>
      <c r="I325" s="17" t="str">
        <f>IF(B325="","",SUM($G$12:G325))</f>
        <v/>
      </c>
      <c r="J325" s="17" t="str">
        <f t="shared" si="46"/>
        <v/>
      </c>
      <c r="K325" s="18" t="str">
        <f t="shared" si="47"/>
        <v/>
      </c>
      <c r="L325" s="27" t="str">
        <f t="shared" si="41"/>
        <v/>
      </c>
    </row>
    <row r="326" spans="2:12" x14ac:dyDescent="0.2">
      <c r="B326" s="15" t="str">
        <f t="shared" si="42"/>
        <v/>
      </c>
      <c r="C326" s="16" t="str">
        <f t="shared" si="43"/>
        <v/>
      </c>
      <c r="D326" s="17" t="str">
        <f t="shared" si="44"/>
        <v/>
      </c>
      <c r="E326" s="17" t="str">
        <f t="shared" si="45"/>
        <v/>
      </c>
      <c r="F326" s="17" t="str">
        <f t="shared" si="39"/>
        <v/>
      </c>
      <c r="G326" s="17" t="str">
        <f t="shared" si="40"/>
        <v/>
      </c>
      <c r="H326" s="17" t="str">
        <f>IF(B326="","",SUM($F$12:F326))</f>
        <v/>
      </c>
      <c r="I326" s="17" t="str">
        <f>IF(B326="","",SUM($G$12:G326))</f>
        <v/>
      </c>
      <c r="J326" s="17" t="str">
        <f t="shared" si="46"/>
        <v/>
      </c>
      <c r="K326" s="18" t="str">
        <f t="shared" si="47"/>
        <v/>
      </c>
      <c r="L326" s="27" t="str">
        <f t="shared" si="41"/>
        <v/>
      </c>
    </row>
    <row r="327" spans="2:12" x14ac:dyDescent="0.2">
      <c r="B327" s="15" t="str">
        <f t="shared" si="42"/>
        <v/>
      </c>
      <c r="C327" s="16" t="str">
        <f t="shared" si="43"/>
        <v/>
      </c>
      <c r="D327" s="17" t="str">
        <f t="shared" si="44"/>
        <v/>
      </c>
      <c r="E327" s="17" t="str">
        <f t="shared" si="45"/>
        <v/>
      </c>
      <c r="F327" s="17" t="str">
        <f t="shared" si="39"/>
        <v/>
      </c>
      <c r="G327" s="17" t="str">
        <f t="shared" si="40"/>
        <v/>
      </c>
      <c r="H327" s="17" t="str">
        <f>IF(B327="","",SUM($F$12:F327))</f>
        <v/>
      </c>
      <c r="I327" s="17" t="str">
        <f>IF(B327="","",SUM($G$12:G327))</f>
        <v/>
      </c>
      <c r="J327" s="17" t="str">
        <f t="shared" si="46"/>
        <v/>
      </c>
      <c r="K327" s="18" t="str">
        <f t="shared" si="47"/>
        <v/>
      </c>
      <c r="L327" s="27" t="str">
        <f t="shared" si="41"/>
        <v/>
      </c>
    </row>
    <row r="328" spans="2:12" x14ac:dyDescent="0.2">
      <c r="B328" s="15" t="str">
        <f t="shared" si="42"/>
        <v/>
      </c>
      <c r="C328" s="16" t="str">
        <f t="shared" si="43"/>
        <v/>
      </c>
      <c r="D328" s="17" t="str">
        <f t="shared" si="44"/>
        <v/>
      </c>
      <c r="E328" s="17" t="str">
        <f t="shared" si="45"/>
        <v/>
      </c>
      <c r="F328" s="17" t="str">
        <f t="shared" si="39"/>
        <v/>
      </c>
      <c r="G328" s="17" t="str">
        <f t="shared" si="40"/>
        <v/>
      </c>
      <c r="H328" s="17" t="str">
        <f>IF(B328="","",SUM($F$12:F328))</f>
        <v/>
      </c>
      <c r="I328" s="17" t="str">
        <f>IF(B328="","",SUM($G$12:G328))</f>
        <v/>
      </c>
      <c r="J328" s="17" t="str">
        <f t="shared" si="46"/>
        <v/>
      </c>
      <c r="K328" s="18" t="str">
        <f t="shared" si="47"/>
        <v/>
      </c>
      <c r="L328" s="27" t="str">
        <f t="shared" si="41"/>
        <v/>
      </c>
    </row>
    <row r="329" spans="2:12" x14ac:dyDescent="0.2">
      <c r="B329" s="15" t="str">
        <f t="shared" si="42"/>
        <v/>
      </c>
      <c r="C329" s="16" t="str">
        <f t="shared" si="43"/>
        <v/>
      </c>
      <c r="D329" s="17" t="str">
        <f t="shared" si="44"/>
        <v/>
      </c>
      <c r="E329" s="17" t="str">
        <f t="shared" si="45"/>
        <v/>
      </c>
      <c r="F329" s="17" t="str">
        <f t="shared" si="39"/>
        <v/>
      </c>
      <c r="G329" s="17" t="str">
        <f t="shared" si="40"/>
        <v/>
      </c>
      <c r="H329" s="17" t="str">
        <f>IF(B329="","",SUM($F$12:F329))</f>
        <v/>
      </c>
      <c r="I329" s="17" t="str">
        <f>IF(B329="","",SUM($G$12:G329))</f>
        <v/>
      </c>
      <c r="J329" s="17" t="str">
        <f t="shared" si="46"/>
        <v/>
      </c>
      <c r="K329" s="18" t="str">
        <f t="shared" si="47"/>
        <v/>
      </c>
      <c r="L329" s="27" t="str">
        <f t="shared" si="41"/>
        <v/>
      </c>
    </row>
    <row r="330" spans="2:12" x14ac:dyDescent="0.2">
      <c r="B330" s="15" t="str">
        <f t="shared" si="42"/>
        <v/>
      </c>
      <c r="C330" s="16" t="str">
        <f t="shared" si="43"/>
        <v/>
      </c>
      <c r="D330" s="17" t="str">
        <f t="shared" si="44"/>
        <v/>
      </c>
      <c r="E330" s="17" t="str">
        <f t="shared" si="45"/>
        <v/>
      </c>
      <c r="F330" s="17" t="str">
        <f t="shared" si="39"/>
        <v/>
      </c>
      <c r="G330" s="17" t="str">
        <f t="shared" si="40"/>
        <v/>
      </c>
      <c r="H330" s="17" t="str">
        <f>IF(B330="","",SUM($F$12:F330))</f>
        <v/>
      </c>
      <c r="I330" s="17" t="str">
        <f>IF(B330="","",SUM($G$12:G330))</f>
        <v/>
      </c>
      <c r="J330" s="17" t="str">
        <f t="shared" si="46"/>
        <v/>
      </c>
      <c r="K330" s="18" t="str">
        <f t="shared" si="47"/>
        <v/>
      </c>
      <c r="L330" s="27" t="str">
        <f t="shared" si="41"/>
        <v/>
      </c>
    </row>
    <row r="331" spans="2:12" x14ac:dyDescent="0.2">
      <c r="B331" s="15" t="str">
        <f t="shared" si="42"/>
        <v/>
      </c>
      <c r="C331" s="16" t="str">
        <f t="shared" si="43"/>
        <v/>
      </c>
      <c r="D331" s="17" t="str">
        <f t="shared" si="44"/>
        <v/>
      </c>
      <c r="E331" s="17" t="str">
        <f t="shared" si="45"/>
        <v/>
      </c>
      <c r="F331" s="17" t="str">
        <f t="shared" si="39"/>
        <v/>
      </c>
      <c r="G331" s="17" t="str">
        <f t="shared" si="40"/>
        <v/>
      </c>
      <c r="H331" s="17" t="str">
        <f>IF(B331="","",SUM($F$12:F331))</f>
        <v/>
      </c>
      <c r="I331" s="17" t="str">
        <f>IF(B331="","",SUM($G$12:G331))</f>
        <v/>
      </c>
      <c r="J331" s="17" t="str">
        <f t="shared" si="46"/>
        <v/>
      </c>
      <c r="K331" s="18" t="str">
        <f t="shared" si="47"/>
        <v/>
      </c>
      <c r="L331" s="27" t="str">
        <f t="shared" si="41"/>
        <v/>
      </c>
    </row>
    <row r="332" spans="2:12" x14ac:dyDescent="0.2">
      <c r="B332" s="15" t="str">
        <f t="shared" si="42"/>
        <v/>
      </c>
      <c r="C332" s="16" t="str">
        <f t="shared" si="43"/>
        <v/>
      </c>
      <c r="D332" s="17" t="str">
        <f t="shared" si="44"/>
        <v/>
      </c>
      <c r="E332" s="17" t="str">
        <f t="shared" si="45"/>
        <v/>
      </c>
      <c r="F332" s="17" t="str">
        <f t="shared" si="39"/>
        <v/>
      </c>
      <c r="G332" s="17" t="str">
        <f t="shared" si="40"/>
        <v/>
      </c>
      <c r="H332" s="17" t="str">
        <f>IF(B332="","",SUM($F$12:F332))</f>
        <v/>
      </c>
      <c r="I332" s="17" t="str">
        <f>IF(B332="","",SUM($G$12:G332))</f>
        <v/>
      </c>
      <c r="J332" s="17" t="str">
        <f t="shared" si="46"/>
        <v/>
      </c>
      <c r="K332" s="18" t="str">
        <f t="shared" si="47"/>
        <v/>
      </c>
      <c r="L332" s="27" t="str">
        <f t="shared" si="41"/>
        <v/>
      </c>
    </row>
    <row r="333" spans="2:12" x14ac:dyDescent="0.2">
      <c r="B333" s="15" t="str">
        <f t="shared" si="42"/>
        <v/>
      </c>
      <c r="C333" s="16" t="str">
        <f t="shared" si="43"/>
        <v/>
      </c>
      <c r="D333" s="17" t="str">
        <f t="shared" si="44"/>
        <v/>
      </c>
      <c r="E333" s="17" t="str">
        <f t="shared" si="45"/>
        <v/>
      </c>
      <c r="F333" s="17" t="str">
        <f t="shared" ref="F333:F371" si="48">IF(B333="","",IPMT($H$9/12,B333,$K$9*12,-$D$9))</f>
        <v/>
      </c>
      <c r="G333" s="17" t="str">
        <f t="shared" ref="G333:G371" si="49">IF(B333="","",PPMT($H$9/12,B333,$K$9*12,-$D$9))</f>
        <v/>
      </c>
      <c r="H333" s="17" t="str">
        <f>IF(B333="","",SUM($F$12:F333))</f>
        <v/>
      </c>
      <c r="I333" s="17" t="str">
        <f>IF(B333="","",SUM($G$12:G333))</f>
        <v/>
      </c>
      <c r="J333" s="17" t="str">
        <f t="shared" si="46"/>
        <v/>
      </c>
      <c r="K333" s="18" t="str">
        <f t="shared" si="47"/>
        <v/>
      </c>
      <c r="L333" s="27" t="str">
        <f t="shared" ref="L333:L371" si="50">IF(B333=$K$9*12,J333/$D$9,"")</f>
        <v/>
      </c>
    </row>
    <row r="334" spans="2:12" x14ac:dyDescent="0.2">
      <c r="B334" s="15" t="str">
        <f t="shared" ref="B334:B371" si="51">IF(ROW()-11&gt;$K$9*12,"",ROW()-11)</f>
        <v/>
      </c>
      <c r="C334" s="16" t="str">
        <f t="shared" ref="C334:C371" si="52">IF(B334="","",ROUNDUP(B334/12,0))</f>
        <v/>
      </c>
      <c r="D334" s="17" t="str">
        <f t="shared" ref="D334:D371" si="53">IF(B334="","",K333)</f>
        <v/>
      </c>
      <c r="E334" s="17" t="str">
        <f t="shared" si="45"/>
        <v/>
      </c>
      <c r="F334" s="17" t="str">
        <f t="shared" si="48"/>
        <v/>
      </c>
      <c r="G334" s="17" t="str">
        <f t="shared" si="49"/>
        <v/>
      </c>
      <c r="H334" s="17" t="str">
        <f>IF(B334="","",SUM($F$12:F334))</f>
        <v/>
      </c>
      <c r="I334" s="17" t="str">
        <f>IF(B334="","",SUM($G$12:G334))</f>
        <v/>
      </c>
      <c r="J334" s="17" t="str">
        <f t="shared" si="46"/>
        <v/>
      </c>
      <c r="K334" s="18" t="str">
        <f t="shared" si="47"/>
        <v/>
      </c>
      <c r="L334" s="27" t="str">
        <f t="shared" si="50"/>
        <v/>
      </c>
    </row>
    <row r="335" spans="2:12" x14ac:dyDescent="0.2">
      <c r="B335" s="15" t="str">
        <f t="shared" si="51"/>
        <v/>
      </c>
      <c r="C335" s="16" t="str">
        <f t="shared" si="52"/>
        <v/>
      </c>
      <c r="D335" s="17" t="str">
        <f t="shared" si="53"/>
        <v/>
      </c>
      <c r="E335" s="17" t="str">
        <f t="shared" si="45"/>
        <v/>
      </c>
      <c r="F335" s="17" t="str">
        <f t="shared" si="48"/>
        <v/>
      </c>
      <c r="G335" s="17" t="str">
        <f t="shared" si="49"/>
        <v/>
      </c>
      <c r="H335" s="17" t="str">
        <f>IF(B335="","",SUM($F$12:F335))</f>
        <v/>
      </c>
      <c r="I335" s="17" t="str">
        <f>IF(B335="","",SUM($G$12:G335))</f>
        <v/>
      </c>
      <c r="J335" s="17" t="str">
        <f t="shared" si="46"/>
        <v/>
      </c>
      <c r="K335" s="18" t="str">
        <f t="shared" si="47"/>
        <v/>
      </c>
      <c r="L335" s="27" t="str">
        <f t="shared" si="50"/>
        <v/>
      </c>
    </row>
    <row r="336" spans="2:12" x14ac:dyDescent="0.2">
      <c r="B336" s="15" t="str">
        <f t="shared" si="51"/>
        <v/>
      </c>
      <c r="C336" s="16" t="str">
        <f t="shared" si="52"/>
        <v/>
      </c>
      <c r="D336" s="17" t="str">
        <f t="shared" si="53"/>
        <v/>
      </c>
      <c r="E336" s="17" t="str">
        <f t="shared" si="45"/>
        <v/>
      </c>
      <c r="F336" s="17" t="str">
        <f t="shared" si="48"/>
        <v/>
      </c>
      <c r="G336" s="17" t="str">
        <f t="shared" si="49"/>
        <v/>
      </c>
      <c r="H336" s="17" t="str">
        <f>IF(B336="","",SUM($F$12:F336))</f>
        <v/>
      </c>
      <c r="I336" s="17" t="str">
        <f>IF(B336="","",SUM($G$12:G336))</f>
        <v/>
      </c>
      <c r="J336" s="17" t="str">
        <f t="shared" si="46"/>
        <v/>
      </c>
      <c r="K336" s="18" t="str">
        <f t="shared" si="47"/>
        <v/>
      </c>
      <c r="L336" s="27" t="str">
        <f t="shared" si="50"/>
        <v/>
      </c>
    </row>
    <row r="337" spans="2:12" x14ac:dyDescent="0.2">
      <c r="B337" s="15" t="str">
        <f t="shared" si="51"/>
        <v/>
      </c>
      <c r="C337" s="16" t="str">
        <f t="shared" si="52"/>
        <v/>
      </c>
      <c r="D337" s="17" t="str">
        <f t="shared" si="53"/>
        <v/>
      </c>
      <c r="E337" s="17" t="str">
        <f t="shared" ref="E337:E371" si="54">IF(B337="","",PMT($H$9/12,$K$9*12,-$D$9))</f>
        <v/>
      </c>
      <c r="F337" s="17" t="str">
        <f t="shared" si="48"/>
        <v/>
      </c>
      <c r="G337" s="17" t="str">
        <f t="shared" si="49"/>
        <v/>
      </c>
      <c r="H337" s="17" t="str">
        <f>IF(B337="","",SUM($F$12:F337))</f>
        <v/>
      </c>
      <c r="I337" s="17" t="str">
        <f>IF(B337="","",SUM($G$12:G337))</f>
        <v/>
      </c>
      <c r="J337" s="17" t="str">
        <f t="shared" ref="J337:J371" si="55">IF(B337="","",$E$12*B337)</f>
        <v/>
      </c>
      <c r="K337" s="18" t="str">
        <f t="shared" ref="K337:K371" si="56">IF(B337="","",D337-G337)</f>
        <v/>
      </c>
      <c r="L337" s="27" t="str">
        <f t="shared" si="50"/>
        <v/>
      </c>
    </row>
    <row r="338" spans="2:12" x14ac:dyDescent="0.2">
      <c r="B338" s="15" t="str">
        <f t="shared" si="51"/>
        <v/>
      </c>
      <c r="C338" s="16" t="str">
        <f t="shared" si="52"/>
        <v/>
      </c>
      <c r="D338" s="17" t="str">
        <f t="shared" si="53"/>
        <v/>
      </c>
      <c r="E338" s="17" t="str">
        <f t="shared" si="54"/>
        <v/>
      </c>
      <c r="F338" s="17" t="str">
        <f t="shared" si="48"/>
        <v/>
      </c>
      <c r="G338" s="17" t="str">
        <f t="shared" si="49"/>
        <v/>
      </c>
      <c r="H338" s="17" t="str">
        <f>IF(B338="","",SUM($F$12:F338))</f>
        <v/>
      </c>
      <c r="I338" s="17" t="str">
        <f>IF(B338="","",SUM($G$12:G338))</f>
        <v/>
      </c>
      <c r="J338" s="17" t="str">
        <f t="shared" si="55"/>
        <v/>
      </c>
      <c r="K338" s="18" t="str">
        <f t="shared" si="56"/>
        <v/>
      </c>
      <c r="L338" s="27" t="str">
        <f t="shared" si="50"/>
        <v/>
      </c>
    </row>
    <row r="339" spans="2:12" x14ac:dyDescent="0.2">
      <c r="B339" s="15" t="str">
        <f t="shared" si="51"/>
        <v/>
      </c>
      <c r="C339" s="16" t="str">
        <f t="shared" si="52"/>
        <v/>
      </c>
      <c r="D339" s="17" t="str">
        <f t="shared" si="53"/>
        <v/>
      </c>
      <c r="E339" s="17" t="str">
        <f t="shared" si="54"/>
        <v/>
      </c>
      <c r="F339" s="17" t="str">
        <f t="shared" si="48"/>
        <v/>
      </c>
      <c r="G339" s="17" t="str">
        <f t="shared" si="49"/>
        <v/>
      </c>
      <c r="H339" s="17" t="str">
        <f>IF(B339="","",SUM($F$12:F339))</f>
        <v/>
      </c>
      <c r="I339" s="17" t="str">
        <f>IF(B339="","",SUM($G$12:G339))</f>
        <v/>
      </c>
      <c r="J339" s="17" t="str">
        <f t="shared" si="55"/>
        <v/>
      </c>
      <c r="K339" s="18" t="str">
        <f t="shared" si="56"/>
        <v/>
      </c>
      <c r="L339" s="27" t="str">
        <f t="shared" si="50"/>
        <v/>
      </c>
    </row>
    <row r="340" spans="2:12" x14ac:dyDescent="0.2">
      <c r="B340" s="15" t="str">
        <f t="shared" si="51"/>
        <v/>
      </c>
      <c r="C340" s="16" t="str">
        <f t="shared" si="52"/>
        <v/>
      </c>
      <c r="D340" s="17" t="str">
        <f t="shared" si="53"/>
        <v/>
      </c>
      <c r="E340" s="17" t="str">
        <f t="shared" si="54"/>
        <v/>
      </c>
      <c r="F340" s="17" t="str">
        <f t="shared" si="48"/>
        <v/>
      </c>
      <c r="G340" s="17" t="str">
        <f t="shared" si="49"/>
        <v/>
      </c>
      <c r="H340" s="17" t="str">
        <f>IF(B340="","",SUM($F$12:F340))</f>
        <v/>
      </c>
      <c r="I340" s="17" t="str">
        <f>IF(B340="","",SUM($G$12:G340))</f>
        <v/>
      </c>
      <c r="J340" s="17" t="str">
        <f t="shared" si="55"/>
        <v/>
      </c>
      <c r="K340" s="18" t="str">
        <f t="shared" si="56"/>
        <v/>
      </c>
      <c r="L340" s="27" t="str">
        <f t="shared" si="50"/>
        <v/>
      </c>
    </row>
    <row r="341" spans="2:12" x14ac:dyDescent="0.2">
      <c r="B341" s="15" t="str">
        <f t="shared" si="51"/>
        <v/>
      </c>
      <c r="C341" s="16" t="str">
        <f t="shared" si="52"/>
        <v/>
      </c>
      <c r="D341" s="17" t="str">
        <f t="shared" si="53"/>
        <v/>
      </c>
      <c r="E341" s="17" t="str">
        <f t="shared" si="54"/>
        <v/>
      </c>
      <c r="F341" s="17" t="str">
        <f t="shared" si="48"/>
        <v/>
      </c>
      <c r="G341" s="17" t="str">
        <f t="shared" si="49"/>
        <v/>
      </c>
      <c r="H341" s="17" t="str">
        <f>IF(B341="","",SUM($F$12:F341))</f>
        <v/>
      </c>
      <c r="I341" s="17" t="str">
        <f>IF(B341="","",SUM($G$12:G341))</f>
        <v/>
      </c>
      <c r="J341" s="17" t="str">
        <f t="shared" si="55"/>
        <v/>
      </c>
      <c r="K341" s="18" t="str">
        <f t="shared" si="56"/>
        <v/>
      </c>
      <c r="L341" s="27" t="str">
        <f t="shared" si="50"/>
        <v/>
      </c>
    </row>
    <row r="342" spans="2:12" x14ac:dyDescent="0.2">
      <c r="B342" s="15" t="str">
        <f t="shared" si="51"/>
        <v/>
      </c>
      <c r="C342" s="16" t="str">
        <f t="shared" si="52"/>
        <v/>
      </c>
      <c r="D342" s="17" t="str">
        <f t="shared" si="53"/>
        <v/>
      </c>
      <c r="E342" s="17" t="str">
        <f t="shared" si="54"/>
        <v/>
      </c>
      <c r="F342" s="17" t="str">
        <f t="shared" si="48"/>
        <v/>
      </c>
      <c r="G342" s="17" t="str">
        <f t="shared" si="49"/>
        <v/>
      </c>
      <c r="H342" s="17" t="str">
        <f>IF(B342="","",SUM($F$12:F342))</f>
        <v/>
      </c>
      <c r="I342" s="17" t="str">
        <f>IF(B342="","",SUM($G$12:G342))</f>
        <v/>
      </c>
      <c r="J342" s="17" t="str">
        <f t="shared" si="55"/>
        <v/>
      </c>
      <c r="K342" s="18" t="str">
        <f t="shared" si="56"/>
        <v/>
      </c>
      <c r="L342" s="27" t="str">
        <f t="shared" si="50"/>
        <v/>
      </c>
    </row>
    <row r="343" spans="2:12" x14ac:dyDescent="0.2">
      <c r="B343" s="15" t="str">
        <f t="shared" si="51"/>
        <v/>
      </c>
      <c r="C343" s="16" t="str">
        <f t="shared" si="52"/>
        <v/>
      </c>
      <c r="D343" s="17" t="str">
        <f t="shared" si="53"/>
        <v/>
      </c>
      <c r="E343" s="17" t="str">
        <f t="shared" si="54"/>
        <v/>
      </c>
      <c r="F343" s="17" t="str">
        <f t="shared" si="48"/>
        <v/>
      </c>
      <c r="G343" s="17" t="str">
        <f t="shared" si="49"/>
        <v/>
      </c>
      <c r="H343" s="17" t="str">
        <f>IF(B343="","",SUM($F$12:F343))</f>
        <v/>
      </c>
      <c r="I343" s="17" t="str">
        <f>IF(B343="","",SUM($G$12:G343))</f>
        <v/>
      </c>
      <c r="J343" s="17" t="str">
        <f t="shared" si="55"/>
        <v/>
      </c>
      <c r="K343" s="18" t="str">
        <f t="shared" si="56"/>
        <v/>
      </c>
      <c r="L343" s="27" t="str">
        <f t="shared" si="50"/>
        <v/>
      </c>
    </row>
    <row r="344" spans="2:12" x14ac:dyDescent="0.2">
      <c r="B344" s="15" t="str">
        <f t="shared" si="51"/>
        <v/>
      </c>
      <c r="C344" s="16" t="str">
        <f t="shared" si="52"/>
        <v/>
      </c>
      <c r="D344" s="17" t="str">
        <f t="shared" si="53"/>
        <v/>
      </c>
      <c r="E344" s="17" t="str">
        <f t="shared" si="54"/>
        <v/>
      </c>
      <c r="F344" s="17" t="str">
        <f t="shared" si="48"/>
        <v/>
      </c>
      <c r="G344" s="17" t="str">
        <f t="shared" si="49"/>
        <v/>
      </c>
      <c r="H344" s="17" t="str">
        <f>IF(B344="","",SUM($F$12:F344))</f>
        <v/>
      </c>
      <c r="I344" s="17" t="str">
        <f>IF(B344="","",SUM($G$12:G344))</f>
        <v/>
      </c>
      <c r="J344" s="17" t="str">
        <f t="shared" si="55"/>
        <v/>
      </c>
      <c r="K344" s="18" t="str">
        <f t="shared" si="56"/>
        <v/>
      </c>
      <c r="L344" s="27" t="str">
        <f t="shared" si="50"/>
        <v/>
      </c>
    </row>
    <row r="345" spans="2:12" x14ac:dyDescent="0.2">
      <c r="B345" s="15" t="str">
        <f t="shared" si="51"/>
        <v/>
      </c>
      <c r="C345" s="16" t="str">
        <f t="shared" si="52"/>
        <v/>
      </c>
      <c r="D345" s="17" t="str">
        <f t="shared" si="53"/>
        <v/>
      </c>
      <c r="E345" s="17" t="str">
        <f t="shared" si="54"/>
        <v/>
      </c>
      <c r="F345" s="17" t="str">
        <f t="shared" si="48"/>
        <v/>
      </c>
      <c r="G345" s="17" t="str">
        <f t="shared" si="49"/>
        <v/>
      </c>
      <c r="H345" s="17" t="str">
        <f>IF(B345="","",SUM($F$12:F345))</f>
        <v/>
      </c>
      <c r="I345" s="17" t="str">
        <f>IF(B345="","",SUM($G$12:G345))</f>
        <v/>
      </c>
      <c r="J345" s="17" t="str">
        <f t="shared" si="55"/>
        <v/>
      </c>
      <c r="K345" s="18" t="str">
        <f t="shared" si="56"/>
        <v/>
      </c>
      <c r="L345" s="27" t="str">
        <f t="shared" si="50"/>
        <v/>
      </c>
    </row>
    <row r="346" spans="2:12" x14ac:dyDescent="0.2">
      <c r="B346" s="15" t="str">
        <f t="shared" si="51"/>
        <v/>
      </c>
      <c r="C346" s="16" t="str">
        <f t="shared" si="52"/>
        <v/>
      </c>
      <c r="D346" s="17" t="str">
        <f t="shared" si="53"/>
        <v/>
      </c>
      <c r="E346" s="17" t="str">
        <f t="shared" si="54"/>
        <v/>
      </c>
      <c r="F346" s="17" t="str">
        <f t="shared" si="48"/>
        <v/>
      </c>
      <c r="G346" s="17" t="str">
        <f t="shared" si="49"/>
        <v/>
      </c>
      <c r="H346" s="17" t="str">
        <f>IF(B346="","",SUM($F$12:F346))</f>
        <v/>
      </c>
      <c r="I346" s="17" t="str">
        <f>IF(B346="","",SUM($G$12:G346))</f>
        <v/>
      </c>
      <c r="J346" s="17" t="str">
        <f t="shared" si="55"/>
        <v/>
      </c>
      <c r="K346" s="18" t="str">
        <f t="shared" si="56"/>
        <v/>
      </c>
      <c r="L346" s="27" t="str">
        <f t="shared" si="50"/>
        <v/>
      </c>
    </row>
    <row r="347" spans="2:12" x14ac:dyDescent="0.2">
      <c r="B347" s="15" t="str">
        <f t="shared" si="51"/>
        <v/>
      </c>
      <c r="C347" s="16" t="str">
        <f t="shared" si="52"/>
        <v/>
      </c>
      <c r="D347" s="17" t="str">
        <f t="shared" si="53"/>
        <v/>
      </c>
      <c r="E347" s="17" t="str">
        <f t="shared" si="54"/>
        <v/>
      </c>
      <c r="F347" s="17" t="str">
        <f t="shared" si="48"/>
        <v/>
      </c>
      <c r="G347" s="17" t="str">
        <f t="shared" si="49"/>
        <v/>
      </c>
      <c r="H347" s="17" t="str">
        <f>IF(B347="","",SUM($F$12:F347))</f>
        <v/>
      </c>
      <c r="I347" s="17" t="str">
        <f>IF(B347="","",SUM($G$12:G347))</f>
        <v/>
      </c>
      <c r="J347" s="17" t="str">
        <f t="shared" si="55"/>
        <v/>
      </c>
      <c r="K347" s="18" t="str">
        <f t="shared" si="56"/>
        <v/>
      </c>
      <c r="L347" s="27" t="str">
        <f t="shared" si="50"/>
        <v/>
      </c>
    </row>
    <row r="348" spans="2:12" x14ac:dyDescent="0.2">
      <c r="B348" s="15" t="str">
        <f t="shared" si="51"/>
        <v/>
      </c>
      <c r="C348" s="16" t="str">
        <f t="shared" si="52"/>
        <v/>
      </c>
      <c r="D348" s="17" t="str">
        <f t="shared" si="53"/>
        <v/>
      </c>
      <c r="E348" s="17" t="str">
        <f t="shared" si="54"/>
        <v/>
      </c>
      <c r="F348" s="17" t="str">
        <f t="shared" si="48"/>
        <v/>
      </c>
      <c r="G348" s="17" t="str">
        <f t="shared" si="49"/>
        <v/>
      </c>
      <c r="H348" s="17" t="str">
        <f>IF(B348="","",SUM($F$12:F348))</f>
        <v/>
      </c>
      <c r="I348" s="17" t="str">
        <f>IF(B348="","",SUM($G$12:G348))</f>
        <v/>
      </c>
      <c r="J348" s="17" t="str">
        <f t="shared" si="55"/>
        <v/>
      </c>
      <c r="K348" s="18" t="str">
        <f t="shared" si="56"/>
        <v/>
      </c>
      <c r="L348" s="27" t="str">
        <f t="shared" si="50"/>
        <v/>
      </c>
    </row>
    <row r="349" spans="2:12" x14ac:dyDescent="0.2">
      <c r="B349" s="15" t="str">
        <f t="shared" si="51"/>
        <v/>
      </c>
      <c r="C349" s="16" t="str">
        <f t="shared" si="52"/>
        <v/>
      </c>
      <c r="D349" s="17" t="str">
        <f t="shared" si="53"/>
        <v/>
      </c>
      <c r="E349" s="17" t="str">
        <f t="shared" si="54"/>
        <v/>
      </c>
      <c r="F349" s="17" t="str">
        <f t="shared" si="48"/>
        <v/>
      </c>
      <c r="G349" s="17" t="str">
        <f t="shared" si="49"/>
        <v/>
      </c>
      <c r="H349" s="17" t="str">
        <f>IF(B349="","",SUM($F$12:F349))</f>
        <v/>
      </c>
      <c r="I349" s="17" t="str">
        <f>IF(B349="","",SUM($G$12:G349))</f>
        <v/>
      </c>
      <c r="J349" s="17" t="str">
        <f t="shared" si="55"/>
        <v/>
      </c>
      <c r="K349" s="18" t="str">
        <f t="shared" si="56"/>
        <v/>
      </c>
      <c r="L349" s="27" t="str">
        <f t="shared" si="50"/>
        <v/>
      </c>
    </row>
    <row r="350" spans="2:12" x14ac:dyDescent="0.2">
      <c r="B350" s="15" t="str">
        <f t="shared" si="51"/>
        <v/>
      </c>
      <c r="C350" s="16" t="str">
        <f t="shared" si="52"/>
        <v/>
      </c>
      <c r="D350" s="17" t="str">
        <f t="shared" si="53"/>
        <v/>
      </c>
      <c r="E350" s="17" t="str">
        <f t="shared" si="54"/>
        <v/>
      </c>
      <c r="F350" s="17" t="str">
        <f t="shared" si="48"/>
        <v/>
      </c>
      <c r="G350" s="17" t="str">
        <f t="shared" si="49"/>
        <v/>
      </c>
      <c r="H350" s="17" t="str">
        <f>IF(B350="","",SUM($F$12:F350))</f>
        <v/>
      </c>
      <c r="I350" s="17" t="str">
        <f>IF(B350="","",SUM($G$12:G350))</f>
        <v/>
      </c>
      <c r="J350" s="17" t="str">
        <f t="shared" si="55"/>
        <v/>
      </c>
      <c r="K350" s="18" t="str">
        <f t="shared" si="56"/>
        <v/>
      </c>
      <c r="L350" s="27" t="str">
        <f t="shared" si="50"/>
        <v/>
      </c>
    </row>
    <row r="351" spans="2:12" x14ac:dyDescent="0.2">
      <c r="B351" s="15" t="str">
        <f t="shared" si="51"/>
        <v/>
      </c>
      <c r="C351" s="16" t="str">
        <f t="shared" si="52"/>
        <v/>
      </c>
      <c r="D351" s="17" t="str">
        <f t="shared" si="53"/>
        <v/>
      </c>
      <c r="E351" s="17" t="str">
        <f t="shared" si="54"/>
        <v/>
      </c>
      <c r="F351" s="17" t="str">
        <f t="shared" si="48"/>
        <v/>
      </c>
      <c r="G351" s="17" t="str">
        <f t="shared" si="49"/>
        <v/>
      </c>
      <c r="H351" s="17" t="str">
        <f>IF(B351="","",SUM($F$12:F351))</f>
        <v/>
      </c>
      <c r="I351" s="17" t="str">
        <f>IF(B351="","",SUM($G$12:G351))</f>
        <v/>
      </c>
      <c r="J351" s="17" t="str">
        <f t="shared" si="55"/>
        <v/>
      </c>
      <c r="K351" s="18" t="str">
        <f t="shared" si="56"/>
        <v/>
      </c>
      <c r="L351" s="27" t="str">
        <f t="shared" si="50"/>
        <v/>
      </c>
    </row>
    <row r="352" spans="2:12" x14ac:dyDescent="0.2">
      <c r="B352" s="15" t="str">
        <f t="shared" si="51"/>
        <v/>
      </c>
      <c r="C352" s="16" t="str">
        <f t="shared" si="52"/>
        <v/>
      </c>
      <c r="D352" s="17" t="str">
        <f t="shared" si="53"/>
        <v/>
      </c>
      <c r="E352" s="17" t="str">
        <f t="shared" si="54"/>
        <v/>
      </c>
      <c r="F352" s="17" t="str">
        <f t="shared" si="48"/>
        <v/>
      </c>
      <c r="G352" s="17" t="str">
        <f t="shared" si="49"/>
        <v/>
      </c>
      <c r="H352" s="17" t="str">
        <f>IF(B352="","",SUM($F$12:F352))</f>
        <v/>
      </c>
      <c r="I352" s="17" t="str">
        <f>IF(B352="","",SUM($G$12:G352))</f>
        <v/>
      </c>
      <c r="J352" s="17" t="str">
        <f t="shared" si="55"/>
        <v/>
      </c>
      <c r="K352" s="18" t="str">
        <f t="shared" si="56"/>
        <v/>
      </c>
      <c r="L352" s="27" t="str">
        <f t="shared" si="50"/>
        <v/>
      </c>
    </row>
    <row r="353" spans="2:12" x14ac:dyDescent="0.2">
      <c r="B353" s="15" t="str">
        <f t="shared" si="51"/>
        <v/>
      </c>
      <c r="C353" s="16" t="str">
        <f t="shared" si="52"/>
        <v/>
      </c>
      <c r="D353" s="17" t="str">
        <f t="shared" si="53"/>
        <v/>
      </c>
      <c r="E353" s="17" t="str">
        <f t="shared" si="54"/>
        <v/>
      </c>
      <c r="F353" s="17" t="str">
        <f t="shared" si="48"/>
        <v/>
      </c>
      <c r="G353" s="17" t="str">
        <f t="shared" si="49"/>
        <v/>
      </c>
      <c r="H353" s="17" t="str">
        <f>IF(B353="","",SUM($F$12:F353))</f>
        <v/>
      </c>
      <c r="I353" s="17" t="str">
        <f>IF(B353="","",SUM($G$12:G353))</f>
        <v/>
      </c>
      <c r="J353" s="17" t="str">
        <f t="shared" si="55"/>
        <v/>
      </c>
      <c r="K353" s="18" t="str">
        <f t="shared" si="56"/>
        <v/>
      </c>
      <c r="L353" s="27" t="str">
        <f t="shared" si="50"/>
        <v/>
      </c>
    </row>
    <row r="354" spans="2:12" x14ac:dyDescent="0.2">
      <c r="B354" s="15" t="str">
        <f t="shared" si="51"/>
        <v/>
      </c>
      <c r="C354" s="16" t="str">
        <f t="shared" si="52"/>
        <v/>
      </c>
      <c r="D354" s="17" t="str">
        <f t="shared" si="53"/>
        <v/>
      </c>
      <c r="E354" s="17" t="str">
        <f t="shared" si="54"/>
        <v/>
      </c>
      <c r="F354" s="17" t="str">
        <f t="shared" si="48"/>
        <v/>
      </c>
      <c r="G354" s="17" t="str">
        <f t="shared" si="49"/>
        <v/>
      </c>
      <c r="H354" s="17" t="str">
        <f>IF(B354="","",SUM($F$12:F354))</f>
        <v/>
      </c>
      <c r="I354" s="17" t="str">
        <f>IF(B354="","",SUM($G$12:G354))</f>
        <v/>
      </c>
      <c r="J354" s="17" t="str">
        <f t="shared" si="55"/>
        <v/>
      </c>
      <c r="K354" s="18" t="str">
        <f t="shared" si="56"/>
        <v/>
      </c>
      <c r="L354" s="27" t="str">
        <f t="shared" si="50"/>
        <v/>
      </c>
    </row>
    <row r="355" spans="2:12" x14ac:dyDescent="0.2">
      <c r="B355" s="15" t="str">
        <f t="shared" si="51"/>
        <v/>
      </c>
      <c r="C355" s="16" t="str">
        <f t="shared" si="52"/>
        <v/>
      </c>
      <c r="D355" s="17" t="str">
        <f t="shared" si="53"/>
        <v/>
      </c>
      <c r="E355" s="17" t="str">
        <f t="shared" si="54"/>
        <v/>
      </c>
      <c r="F355" s="17" t="str">
        <f t="shared" si="48"/>
        <v/>
      </c>
      <c r="G355" s="17" t="str">
        <f t="shared" si="49"/>
        <v/>
      </c>
      <c r="H355" s="17" t="str">
        <f>IF(B355="","",SUM($F$12:F355))</f>
        <v/>
      </c>
      <c r="I355" s="17" t="str">
        <f>IF(B355="","",SUM($G$12:G355))</f>
        <v/>
      </c>
      <c r="J355" s="17" t="str">
        <f t="shared" si="55"/>
        <v/>
      </c>
      <c r="K355" s="18" t="str">
        <f t="shared" si="56"/>
        <v/>
      </c>
      <c r="L355" s="27" t="str">
        <f t="shared" si="50"/>
        <v/>
      </c>
    </row>
    <row r="356" spans="2:12" x14ac:dyDescent="0.2">
      <c r="B356" s="15" t="str">
        <f t="shared" si="51"/>
        <v/>
      </c>
      <c r="C356" s="16" t="str">
        <f t="shared" si="52"/>
        <v/>
      </c>
      <c r="D356" s="17" t="str">
        <f t="shared" si="53"/>
        <v/>
      </c>
      <c r="E356" s="17" t="str">
        <f t="shared" si="54"/>
        <v/>
      </c>
      <c r="F356" s="17" t="str">
        <f t="shared" si="48"/>
        <v/>
      </c>
      <c r="G356" s="17" t="str">
        <f t="shared" si="49"/>
        <v/>
      </c>
      <c r="H356" s="17" t="str">
        <f>IF(B356="","",SUM($F$12:F356))</f>
        <v/>
      </c>
      <c r="I356" s="17" t="str">
        <f>IF(B356="","",SUM($G$12:G356))</f>
        <v/>
      </c>
      <c r="J356" s="17" t="str">
        <f t="shared" si="55"/>
        <v/>
      </c>
      <c r="K356" s="18" t="str">
        <f t="shared" si="56"/>
        <v/>
      </c>
      <c r="L356" s="27" t="str">
        <f t="shared" si="50"/>
        <v/>
      </c>
    </row>
    <row r="357" spans="2:12" x14ac:dyDescent="0.2">
      <c r="B357" s="15" t="str">
        <f t="shared" si="51"/>
        <v/>
      </c>
      <c r="C357" s="16" t="str">
        <f t="shared" si="52"/>
        <v/>
      </c>
      <c r="D357" s="17" t="str">
        <f t="shared" si="53"/>
        <v/>
      </c>
      <c r="E357" s="17" t="str">
        <f t="shared" si="54"/>
        <v/>
      </c>
      <c r="F357" s="17" t="str">
        <f t="shared" si="48"/>
        <v/>
      </c>
      <c r="G357" s="17" t="str">
        <f t="shared" si="49"/>
        <v/>
      </c>
      <c r="H357" s="17" t="str">
        <f>IF(B357="","",SUM($F$12:F357))</f>
        <v/>
      </c>
      <c r="I357" s="17" t="str">
        <f>IF(B357="","",SUM($G$12:G357))</f>
        <v/>
      </c>
      <c r="J357" s="17" t="str">
        <f t="shared" si="55"/>
        <v/>
      </c>
      <c r="K357" s="18" t="str">
        <f t="shared" si="56"/>
        <v/>
      </c>
      <c r="L357" s="27" t="str">
        <f t="shared" si="50"/>
        <v/>
      </c>
    </row>
    <row r="358" spans="2:12" x14ac:dyDescent="0.2">
      <c r="B358" s="15" t="str">
        <f t="shared" si="51"/>
        <v/>
      </c>
      <c r="C358" s="16" t="str">
        <f t="shared" si="52"/>
        <v/>
      </c>
      <c r="D358" s="17" t="str">
        <f t="shared" si="53"/>
        <v/>
      </c>
      <c r="E358" s="17" t="str">
        <f t="shared" si="54"/>
        <v/>
      </c>
      <c r="F358" s="17" t="str">
        <f t="shared" si="48"/>
        <v/>
      </c>
      <c r="G358" s="17" t="str">
        <f t="shared" si="49"/>
        <v/>
      </c>
      <c r="H358" s="17" t="str">
        <f>IF(B358="","",SUM($F$12:F358))</f>
        <v/>
      </c>
      <c r="I358" s="17" t="str">
        <f>IF(B358="","",SUM($G$12:G358))</f>
        <v/>
      </c>
      <c r="J358" s="17" t="str">
        <f t="shared" si="55"/>
        <v/>
      </c>
      <c r="K358" s="18" t="str">
        <f t="shared" si="56"/>
        <v/>
      </c>
      <c r="L358" s="27" t="str">
        <f t="shared" si="50"/>
        <v/>
      </c>
    </row>
    <row r="359" spans="2:12" x14ac:dyDescent="0.2">
      <c r="B359" s="15" t="str">
        <f t="shared" si="51"/>
        <v/>
      </c>
      <c r="C359" s="16" t="str">
        <f t="shared" si="52"/>
        <v/>
      </c>
      <c r="D359" s="17" t="str">
        <f t="shared" si="53"/>
        <v/>
      </c>
      <c r="E359" s="17" t="str">
        <f t="shared" si="54"/>
        <v/>
      </c>
      <c r="F359" s="17" t="str">
        <f t="shared" si="48"/>
        <v/>
      </c>
      <c r="G359" s="17" t="str">
        <f t="shared" si="49"/>
        <v/>
      </c>
      <c r="H359" s="17" t="str">
        <f>IF(B359="","",SUM($F$12:F359))</f>
        <v/>
      </c>
      <c r="I359" s="17" t="str">
        <f>IF(B359="","",SUM($G$12:G359))</f>
        <v/>
      </c>
      <c r="J359" s="17" t="str">
        <f t="shared" si="55"/>
        <v/>
      </c>
      <c r="K359" s="18" t="str">
        <f t="shared" si="56"/>
        <v/>
      </c>
      <c r="L359" s="27" t="str">
        <f t="shared" si="50"/>
        <v/>
      </c>
    </row>
    <row r="360" spans="2:12" x14ac:dyDescent="0.2">
      <c r="B360" s="15" t="str">
        <f t="shared" si="51"/>
        <v/>
      </c>
      <c r="C360" s="16" t="str">
        <f t="shared" si="52"/>
        <v/>
      </c>
      <c r="D360" s="17" t="str">
        <f t="shared" si="53"/>
        <v/>
      </c>
      <c r="E360" s="17" t="str">
        <f t="shared" si="54"/>
        <v/>
      </c>
      <c r="F360" s="17" t="str">
        <f t="shared" si="48"/>
        <v/>
      </c>
      <c r="G360" s="17" t="str">
        <f t="shared" si="49"/>
        <v/>
      </c>
      <c r="H360" s="17" t="str">
        <f>IF(B360="","",SUM($F$12:F360))</f>
        <v/>
      </c>
      <c r="I360" s="17" t="str">
        <f>IF(B360="","",SUM($G$12:G360))</f>
        <v/>
      </c>
      <c r="J360" s="17" t="str">
        <f t="shared" si="55"/>
        <v/>
      </c>
      <c r="K360" s="18" t="str">
        <f t="shared" si="56"/>
        <v/>
      </c>
      <c r="L360" s="27" t="str">
        <f t="shared" si="50"/>
        <v/>
      </c>
    </row>
    <row r="361" spans="2:12" x14ac:dyDescent="0.2">
      <c r="B361" s="15" t="str">
        <f t="shared" si="51"/>
        <v/>
      </c>
      <c r="C361" s="16" t="str">
        <f t="shared" si="52"/>
        <v/>
      </c>
      <c r="D361" s="17" t="str">
        <f t="shared" si="53"/>
        <v/>
      </c>
      <c r="E361" s="17" t="str">
        <f t="shared" si="54"/>
        <v/>
      </c>
      <c r="F361" s="17" t="str">
        <f t="shared" si="48"/>
        <v/>
      </c>
      <c r="G361" s="17" t="str">
        <f t="shared" si="49"/>
        <v/>
      </c>
      <c r="H361" s="17" t="str">
        <f>IF(B361="","",SUM($F$12:F361))</f>
        <v/>
      </c>
      <c r="I361" s="17" t="str">
        <f>IF(B361="","",SUM($G$12:G361))</f>
        <v/>
      </c>
      <c r="J361" s="17" t="str">
        <f t="shared" si="55"/>
        <v/>
      </c>
      <c r="K361" s="18" t="str">
        <f t="shared" si="56"/>
        <v/>
      </c>
      <c r="L361" s="27" t="str">
        <f t="shared" si="50"/>
        <v/>
      </c>
    </row>
    <row r="362" spans="2:12" x14ac:dyDescent="0.2">
      <c r="B362" s="15" t="str">
        <f t="shared" si="51"/>
        <v/>
      </c>
      <c r="C362" s="16" t="str">
        <f t="shared" si="52"/>
        <v/>
      </c>
      <c r="D362" s="17" t="str">
        <f t="shared" si="53"/>
        <v/>
      </c>
      <c r="E362" s="17" t="str">
        <f t="shared" si="54"/>
        <v/>
      </c>
      <c r="F362" s="17" t="str">
        <f t="shared" si="48"/>
        <v/>
      </c>
      <c r="G362" s="17" t="str">
        <f t="shared" si="49"/>
        <v/>
      </c>
      <c r="H362" s="17" t="str">
        <f>IF(B362="","",SUM($F$12:F362))</f>
        <v/>
      </c>
      <c r="I362" s="17" t="str">
        <f>IF(B362="","",SUM($G$12:G362))</f>
        <v/>
      </c>
      <c r="J362" s="17" t="str">
        <f t="shared" si="55"/>
        <v/>
      </c>
      <c r="K362" s="18" t="str">
        <f t="shared" si="56"/>
        <v/>
      </c>
      <c r="L362" s="27" t="str">
        <f t="shared" si="50"/>
        <v/>
      </c>
    </row>
    <row r="363" spans="2:12" x14ac:dyDescent="0.2">
      <c r="B363" s="15" t="str">
        <f t="shared" si="51"/>
        <v/>
      </c>
      <c r="C363" s="16" t="str">
        <f t="shared" si="52"/>
        <v/>
      </c>
      <c r="D363" s="17" t="str">
        <f t="shared" si="53"/>
        <v/>
      </c>
      <c r="E363" s="17" t="str">
        <f t="shared" si="54"/>
        <v/>
      </c>
      <c r="F363" s="17" t="str">
        <f t="shared" si="48"/>
        <v/>
      </c>
      <c r="G363" s="17" t="str">
        <f t="shared" si="49"/>
        <v/>
      </c>
      <c r="H363" s="17" t="str">
        <f>IF(B363="","",SUM($F$12:F363))</f>
        <v/>
      </c>
      <c r="I363" s="17" t="str">
        <f>IF(B363="","",SUM($G$12:G363))</f>
        <v/>
      </c>
      <c r="J363" s="17" t="str">
        <f t="shared" si="55"/>
        <v/>
      </c>
      <c r="K363" s="18" t="str">
        <f t="shared" si="56"/>
        <v/>
      </c>
      <c r="L363" s="27" t="str">
        <f t="shared" si="50"/>
        <v/>
      </c>
    </row>
    <row r="364" spans="2:12" x14ac:dyDescent="0.2">
      <c r="B364" s="15" t="str">
        <f t="shared" si="51"/>
        <v/>
      </c>
      <c r="C364" s="16" t="str">
        <f t="shared" si="52"/>
        <v/>
      </c>
      <c r="D364" s="17" t="str">
        <f t="shared" si="53"/>
        <v/>
      </c>
      <c r="E364" s="17" t="str">
        <f t="shared" si="54"/>
        <v/>
      </c>
      <c r="F364" s="17" t="str">
        <f t="shared" si="48"/>
        <v/>
      </c>
      <c r="G364" s="17" t="str">
        <f t="shared" si="49"/>
        <v/>
      </c>
      <c r="H364" s="17" t="str">
        <f>IF(B364="","",SUM($F$12:F364))</f>
        <v/>
      </c>
      <c r="I364" s="17" t="str">
        <f>IF(B364="","",SUM($G$12:G364))</f>
        <v/>
      </c>
      <c r="J364" s="17" t="str">
        <f t="shared" si="55"/>
        <v/>
      </c>
      <c r="K364" s="18" t="str">
        <f t="shared" si="56"/>
        <v/>
      </c>
      <c r="L364" s="27" t="str">
        <f t="shared" si="50"/>
        <v/>
      </c>
    </row>
    <row r="365" spans="2:12" x14ac:dyDescent="0.2">
      <c r="B365" s="15" t="str">
        <f t="shared" si="51"/>
        <v/>
      </c>
      <c r="C365" s="16" t="str">
        <f t="shared" si="52"/>
        <v/>
      </c>
      <c r="D365" s="17" t="str">
        <f t="shared" si="53"/>
        <v/>
      </c>
      <c r="E365" s="17" t="str">
        <f t="shared" si="54"/>
        <v/>
      </c>
      <c r="F365" s="17" t="str">
        <f t="shared" si="48"/>
        <v/>
      </c>
      <c r="G365" s="17" t="str">
        <f t="shared" si="49"/>
        <v/>
      </c>
      <c r="H365" s="17" t="str">
        <f>IF(B365="","",SUM($F$12:F365))</f>
        <v/>
      </c>
      <c r="I365" s="17" t="str">
        <f>IF(B365="","",SUM($G$12:G365))</f>
        <v/>
      </c>
      <c r="J365" s="17" t="str">
        <f t="shared" si="55"/>
        <v/>
      </c>
      <c r="K365" s="18" t="str">
        <f t="shared" si="56"/>
        <v/>
      </c>
      <c r="L365" s="27" t="str">
        <f t="shared" si="50"/>
        <v/>
      </c>
    </row>
    <row r="366" spans="2:12" x14ac:dyDescent="0.2">
      <c r="B366" s="15" t="str">
        <f t="shared" si="51"/>
        <v/>
      </c>
      <c r="C366" s="16" t="str">
        <f t="shared" si="52"/>
        <v/>
      </c>
      <c r="D366" s="17" t="str">
        <f t="shared" si="53"/>
        <v/>
      </c>
      <c r="E366" s="17" t="str">
        <f t="shared" si="54"/>
        <v/>
      </c>
      <c r="F366" s="17" t="str">
        <f t="shared" si="48"/>
        <v/>
      </c>
      <c r="G366" s="17" t="str">
        <f t="shared" si="49"/>
        <v/>
      </c>
      <c r="H366" s="17" t="str">
        <f>IF(B366="","",SUM($F$12:F366))</f>
        <v/>
      </c>
      <c r="I366" s="17" t="str">
        <f>IF(B366="","",SUM($G$12:G366))</f>
        <v/>
      </c>
      <c r="J366" s="17" t="str">
        <f t="shared" si="55"/>
        <v/>
      </c>
      <c r="K366" s="18" t="str">
        <f t="shared" si="56"/>
        <v/>
      </c>
      <c r="L366" s="27" t="str">
        <f t="shared" si="50"/>
        <v/>
      </c>
    </row>
    <row r="367" spans="2:12" x14ac:dyDescent="0.2">
      <c r="B367" s="15" t="str">
        <f t="shared" si="51"/>
        <v/>
      </c>
      <c r="C367" s="16" t="str">
        <f t="shared" si="52"/>
        <v/>
      </c>
      <c r="D367" s="17" t="str">
        <f t="shared" si="53"/>
        <v/>
      </c>
      <c r="E367" s="17" t="str">
        <f t="shared" si="54"/>
        <v/>
      </c>
      <c r="F367" s="17" t="str">
        <f t="shared" si="48"/>
        <v/>
      </c>
      <c r="G367" s="17" t="str">
        <f t="shared" si="49"/>
        <v/>
      </c>
      <c r="H367" s="17" t="str">
        <f>IF(B367="","",SUM($F$12:F367))</f>
        <v/>
      </c>
      <c r="I367" s="17" t="str">
        <f>IF(B367="","",SUM($G$12:G367))</f>
        <v/>
      </c>
      <c r="J367" s="17" t="str">
        <f t="shared" si="55"/>
        <v/>
      </c>
      <c r="K367" s="18" t="str">
        <f t="shared" si="56"/>
        <v/>
      </c>
      <c r="L367" s="27" t="str">
        <f t="shared" si="50"/>
        <v/>
      </c>
    </row>
    <row r="368" spans="2:12" x14ac:dyDescent="0.2">
      <c r="B368" s="15" t="str">
        <f t="shared" si="51"/>
        <v/>
      </c>
      <c r="C368" s="16" t="str">
        <f t="shared" si="52"/>
        <v/>
      </c>
      <c r="D368" s="17" t="str">
        <f t="shared" si="53"/>
        <v/>
      </c>
      <c r="E368" s="17" t="str">
        <f t="shared" si="54"/>
        <v/>
      </c>
      <c r="F368" s="17" t="str">
        <f t="shared" si="48"/>
        <v/>
      </c>
      <c r="G368" s="17" t="str">
        <f t="shared" si="49"/>
        <v/>
      </c>
      <c r="H368" s="17" t="str">
        <f>IF(B368="","",SUM($F$12:F368))</f>
        <v/>
      </c>
      <c r="I368" s="17" t="str">
        <f>IF(B368="","",SUM($G$12:G368))</f>
        <v/>
      </c>
      <c r="J368" s="17" t="str">
        <f t="shared" si="55"/>
        <v/>
      </c>
      <c r="K368" s="18" t="str">
        <f t="shared" si="56"/>
        <v/>
      </c>
      <c r="L368" s="27" t="str">
        <f t="shared" si="50"/>
        <v/>
      </c>
    </row>
    <row r="369" spans="2:12" x14ac:dyDescent="0.2">
      <c r="B369" s="15" t="str">
        <f t="shared" si="51"/>
        <v/>
      </c>
      <c r="C369" s="16" t="str">
        <f t="shared" si="52"/>
        <v/>
      </c>
      <c r="D369" s="17" t="str">
        <f t="shared" si="53"/>
        <v/>
      </c>
      <c r="E369" s="17" t="str">
        <f t="shared" si="54"/>
        <v/>
      </c>
      <c r="F369" s="17" t="str">
        <f t="shared" si="48"/>
        <v/>
      </c>
      <c r="G369" s="17" t="str">
        <f t="shared" si="49"/>
        <v/>
      </c>
      <c r="H369" s="17" t="str">
        <f>IF(B369="","",SUM($F$12:F369))</f>
        <v/>
      </c>
      <c r="I369" s="17" t="str">
        <f>IF(B369="","",SUM($G$12:G369))</f>
        <v/>
      </c>
      <c r="J369" s="17" t="str">
        <f t="shared" si="55"/>
        <v/>
      </c>
      <c r="K369" s="18" t="str">
        <f t="shared" si="56"/>
        <v/>
      </c>
      <c r="L369" s="27" t="str">
        <f t="shared" si="50"/>
        <v/>
      </c>
    </row>
    <row r="370" spans="2:12" x14ac:dyDescent="0.2">
      <c r="B370" s="15" t="str">
        <f t="shared" si="51"/>
        <v/>
      </c>
      <c r="C370" s="16" t="str">
        <f t="shared" si="52"/>
        <v/>
      </c>
      <c r="D370" s="17" t="str">
        <f t="shared" si="53"/>
        <v/>
      </c>
      <c r="E370" s="17" t="str">
        <f t="shared" si="54"/>
        <v/>
      </c>
      <c r="F370" s="17" t="str">
        <f t="shared" si="48"/>
        <v/>
      </c>
      <c r="G370" s="17" t="str">
        <f t="shared" si="49"/>
        <v/>
      </c>
      <c r="H370" s="17" t="str">
        <f>IF(B370="","",SUM($F$12:F370))</f>
        <v/>
      </c>
      <c r="I370" s="17" t="str">
        <f>IF(B370="","",SUM($G$12:G370))</f>
        <v/>
      </c>
      <c r="J370" s="17" t="str">
        <f t="shared" si="55"/>
        <v/>
      </c>
      <c r="K370" s="18" t="str">
        <f t="shared" si="56"/>
        <v/>
      </c>
      <c r="L370" s="27" t="str">
        <f t="shared" si="50"/>
        <v/>
      </c>
    </row>
    <row r="371" spans="2:12" x14ac:dyDescent="0.2">
      <c r="B371" s="19" t="str">
        <f t="shared" si="51"/>
        <v/>
      </c>
      <c r="C371" s="20" t="str">
        <f t="shared" si="52"/>
        <v/>
      </c>
      <c r="D371" s="21" t="str">
        <f t="shared" si="53"/>
        <v/>
      </c>
      <c r="E371" s="21" t="str">
        <f t="shared" si="54"/>
        <v/>
      </c>
      <c r="F371" s="21" t="str">
        <f t="shared" si="48"/>
        <v/>
      </c>
      <c r="G371" s="21" t="str">
        <f t="shared" si="49"/>
        <v/>
      </c>
      <c r="H371" s="21" t="str">
        <f>IF(B371="","",SUM($F$12:F371))</f>
        <v/>
      </c>
      <c r="I371" s="21" t="str">
        <f>IF(B371="","",SUM($G$12:G371))</f>
        <v/>
      </c>
      <c r="J371" s="21" t="str">
        <f t="shared" si="55"/>
        <v/>
      </c>
      <c r="K371" s="22" t="str">
        <f t="shared" si="56"/>
        <v/>
      </c>
      <c r="L371" s="27" t="str">
        <f t="shared" si="50"/>
        <v/>
      </c>
    </row>
  </sheetData>
  <mergeCells count="3">
    <mergeCell ref="B9:C9"/>
    <mergeCell ref="F9:G9"/>
    <mergeCell ref="B7:L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/>
  </sheetPr>
  <dimension ref="B1:L371"/>
  <sheetViews>
    <sheetView zoomScale="80" zoomScaleNormal="80" workbookViewId="0">
      <selection activeCell="AQ59" sqref="AQ59"/>
    </sheetView>
  </sheetViews>
  <sheetFormatPr baseColWidth="10" defaultColWidth="9.1640625" defaultRowHeight="15" x14ac:dyDescent="0.2"/>
  <cols>
    <col min="1" max="1" width="3.33203125" style="5" customWidth="1"/>
    <col min="2" max="3" width="15.6640625" style="5" customWidth="1"/>
    <col min="4" max="10" width="15.6640625" style="10" customWidth="1"/>
    <col min="11" max="11" width="15.6640625" style="5" customWidth="1"/>
    <col min="12" max="12" width="30.6640625" style="5" bestFit="1" customWidth="1"/>
    <col min="13" max="16384" width="9.1640625" style="5"/>
  </cols>
  <sheetData>
    <row r="1" spans="2:12" x14ac:dyDescent="0.2">
      <c r="D1" s="5"/>
      <c r="E1" s="5"/>
      <c r="F1" s="5"/>
      <c r="G1" s="5"/>
      <c r="H1" s="5"/>
      <c r="I1" s="5"/>
      <c r="J1" s="5"/>
    </row>
    <row r="2" spans="2:12" x14ac:dyDescent="0.2">
      <c r="D2" s="5"/>
      <c r="E2" s="5"/>
      <c r="F2" s="5"/>
      <c r="G2" s="5"/>
      <c r="H2" s="5"/>
      <c r="I2" s="5"/>
      <c r="J2" s="5"/>
    </row>
    <row r="3" spans="2:12" x14ac:dyDescent="0.2">
      <c r="D3" s="5"/>
      <c r="E3" s="5"/>
      <c r="F3" s="5"/>
      <c r="G3" s="5"/>
      <c r="H3" s="5"/>
      <c r="I3" s="5"/>
      <c r="J3" s="5"/>
    </row>
    <row r="4" spans="2:12" x14ac:dyDescent="0.2">
      <c r="D4" s="5"/>
      <c r="E4" s="5"/>
      <c r="F4" s="5"/>
      <c r="G4" s="5"/>
      <c r="H4" s="5"/>
      <c r="I4" s="5"/>
      <c r="J4" s="5"/>
    </row>
    <row r="5" spans="2:12" x14ac:dyDescent="0.2">
      <c r="D5" s="5"/>
      <c r="E5" s="5"/>
      <c r="F5" s="5"/>
      <c r="G5" s="5"/>
      <c r="H5" s="5"/>
      <c r="I5" s="5"/>
      <c r="J5" s="5"/>
    </row>
    <row r="6" spans="2:12" x14ac:dyDescent="0.2">
      <c r="D6" s="5"/>
      <c r="E6" s="5"/>
      <c r="F6" s="5"/>
      <c r="G6" s="5"/>
      <c r="H6" s="5"/>
      <c r="I6" s="5"/>
      <c r="J6" s="5"/>
    </row>
    <row r="7" spans="2:12" ht="19" x14ac:dyDescent="0.2">
      <c r="B7" s="437" t="s">
        <v>75</v>
      </c>
      <c r="C7" s="437"/>
      <c r="D7" s="437"/>
      <c r="E7" s="437"/>
      <c r="F7" s="437"/>
      <c r="G7" s="437"/>
      <c r="H7" s="437"/>
      <c r="I7" s="437"/>
      <c r="J7" s="437"/>
      <c r="K7" s="437"/>
      <c r="L7" s="437"/>
    </row>
    <row r="8" spans="2:12" ht="19" x14ac:dyDescent="0.2">
      <c r="B8" s="4"/>
      <c r="D8" s="5"/>
      <c r="E8" s="5"/>
      <c r="F8" s="5"/>
      <c r="G8" s="5"/>
      <c r="H8" s="5"/>
      <c r="I8" s="5"/>
      <c r="J8" s="5"/>
    </row>
    <row r="9" spans="2:12" x14ac:dyDescent="0.2">
      <c r="B9" s="438" t="s">
        <v>66</v>
      </c>
      <c r="C9" s="439"/>
      <c r="D9" s="23">
        <f>'2. Purchase Information'!H19</f>
        <v>0</v>
      </c>
      <c r="E9" s="5"/>
      <c r="F9" s="440" t="s">
        <v>67</v>
      </c>
      <c r="G9" s="423"/>
      <c r="H9" s="24">
        <f>'2. Purchase Information'!D21</f>
        <v>0.08</v>
      </c>
      <c r="I9" s="5"/>
      <c r="J9" s="6" t="s">
        <v>68</v>
      </c>
      <c r="K9" s="25">
        <f>'2. Purchase Information'!D23</f>
        <v>15</v>
      </c>
    </row>
    <row r="10" spans="2:12" x14ac:dyDescent="0.2">
      <c r="D10" s="5"/>
      <c r="E10" s="5"/>
      <c r="F10" s="5"/>
      <c r="G10" s="5"/>
      <c r="H10" s="5"/>
      <c r="I10" s="5"/>
      <c r="J10" s="5"/>
    </row>
    <row r="11" spans="2:12" s="9" customFormat="1" ht="30" customHeight="1" x14ac:dyDescent="0.2">
      <c r="B11" s="29" t="s">
        <v>62</v>
      </c>
      <c r="C11" s="29" t="s">
        <v>63</v>
      </c>
      <c r="D11" s="29" t="s">
        <v>64</v>
      </c>
      <c r="E11" s="29" t="s">
        <v>65</v>
      </c>
      <c r="F11" s="29" t="s">
        <v>69</v>
      </c>
      <c r="G11" s="29" t="s">
        <v>70</v>
      </c>
      <c r="H11" s="29" t="s">
        <v>71</v>
      </c>
      <c r="I11" s="29" t="s">
        <v>72</v>
      </c>
      <c r="J11" s="29" t="s">
        <v>74</v>
      </c>
      <c r="K11" s="29" t="s">
        <v>73</v>
      </c>
    </row>
    <row r="12" spans="2:12" x14ac:dyDescent="0.2">
      <c r="B12" s="11">
        <f>IF((ROW()-12)*12&gt;$K$9*12,"",(ROW()-12)*12)</f>
        <v>0</v>
      </c>
      <c r="C12" s="12">
        <f>IF(B12="","",ROUNDUP(B12/12,0))</f>
        <v>0</v>
      </c>
      <c r="D12" s="13">
        <f>IF(B12="","",D9)</f>
        <v>0</v>
      </c>
      <c r="E12" s="13">
        <f>IF(B12="","",PMT($H$9/12,$K$9*12,-$D$9))</f>
        <v>0</v>
      </c>
      <c r="F12" s="13">
        <v>0</v>
      </c>
      <c r="G12" s="13">
        <v>0</v>
      </c>
      <c r="H12" s="13">
        <f>IF(B12="","",SUM($F$12:F12))</f>
        <v>0</v>
      </c>
      <c r="I12" s="13">
        <f>IF(B12="","",SUM($G$12:G12))</f>
        <v>0</v>
      </c>
      <c r="J12" s="13">
        <f>IF(B12="","",$E$12*B12)</f>
        <v>0</v>
      </c>
      <c r="K12" s="14">
        <f>IF(B12="","",D12-G12)</f>
        <v>0</v>
      </c>
      <c r="L12" s="27" t="str">
        <f>IF(B12=$K$9*12,J12/$D$9,"")</f>
        <v/>
      </c>
    </row>
    <row r="13" spans="2:12" x14ac:dyDescent="0.2">
      <c r="B13" s="15">
        <f t="shared" ref="B13:B42" si="0">IF((ROW()-12)*12&gt;$K$9*12,"",(ROW()-12)*12)</f>
        <v>12</v>
      </c>
      <c r="C13" s="16">
        <f>IF(B13="","",ROUNDUP(B13/12,0))</f>
        <v>1</v>
      </c>
      <c r="D13" s="17">
        <f>IF(B13="","",INDEX('Debt Payment (Monthly)'!$B$12:$K$371,$B13,COLUMN()-1))</f>
        <v>0</v>
      </c>
      <c r="E13" s="17">
        <f>IF(C13="","",INDEX('Debt Payment (Monthly)'!$B$12:$K$371,$B13,COLUMN()-1))</f>
        <v>0</v>
      </c>
      <c r="F13" s="17">
        <f>IF(D13="","",INDEX('Debt Payment (Monthly)'!$B$12:$K$371,$B13,COLUMN()-1))</f>
        <v>0</v>
      </c>
      <c r="G13" s="17">
        <f>IF(E13="","",INDEX('Debt Payment (Monthly)'!$B$12:$K$371,$B13,COLUMN()-1))</f>
        <v>0</v>
      </c>
      <c r="H13" s="17">
        <f>IF(F13="","",INDEX('Debt Payment (Monthly)'!$B$12:$K$371,$B13,COLUMN()-1))</f>
        <v>0</v>
      </c>
      <c r="I13" s="17">
        <f>IF(G13="","",INDEX('Debt Payment (Monthly)'!$B$12:$K$371,$B13,COLUMN()-1))</f>
        <v>0</v>
      </c>
      <c r="J13" s="17">
        <f>IF(H13="","",INDEX('Debt Payment (Monthly)'!$B$12:$K$371,$B13,COLUMN()-1))</f>
        <v>0</v>
      </c>
      <c r="K13" s="18">
        <f>IF(I13="","",INDEX('Debt Payment (Monthly)'!$B$12:$K$371,$B13,COLUMN()-1))</f>
        <v>0</v>
      </c>
      <c r="L13" s="27" t="str">
        <f t="shared" ref="L13:L76" si="1">IF(B13=$K$9*12,J13/$D$9,"")</f>
        <v/>
      </c>
    </row>
    <row r="14" spans="2:12" x14ac:dyDescent="0.2">
      <c r="B14" s="15">
        <f t="shared" si="0"/>
        <v>24</v>
      </c>
      <c r="C14" s="16">
        <f t="shared" ref="C14:C42" si="2">IF(B14="","",ROUNDUP(B14/12,0))</f>
        <v>2</v>
      </c>
      <c r="D14" s="17">
        <f>IF(B14="","",INDEX('Debt Payment (Monthly)'!$B$12:$K$371,$B14,COLUMN()-1))</f>
        <v>0</v>
      </c>
      <c r="E14" s="17">
        <f>IF(C14="","",INDEX('Debt Payment (Monthly)'!$B$12:$K$371,$B14,COLUMN()-1))</f>
        <v>0</v>
      </c>
      <c r="F14" s="17">
        <f>IF(D14="","",INDEX('Debt Payment (Monthly)'!$B$12:$K$371,$B14,COLUMN()-1))</f>
        <v>0</v>
      </c>
      <c r="G14" s="17">
        <f>IF(E14="","",INDEX('Debt Payment (Monthly)'!$B$12:$K$371,$B14,COLUMN()-1))</f>
        <v>0</v>
      </c>
      <c r="H14" s="17">
        <f>IF(F14="","",INDEX('Debt Payment (Monthly)'!$B$12:$K$371,$B14,COLUMN()-1))</f>
        <v>0</v>
      </c>
      <c r="I14" s="17">
        <f>IF(G14="","",INDEX('Debt Payment (Monthly)'!$B$12:$K$371,$B14,COLUMN()-1))</f>
        <v>0</v>
      </c>
      <c r="J14" s="17">
        <f>IF(H14="","",INDEX('Debt Payment (Monthly)'!$B$12:$K$371,$B14,COLUMN()-1))</f>
        <v>0</v>
      </c>
      <c r="K14" s="18">
        <f>IF(I14="","",INDEX('Debt Payment (Monthly)'!$B$12:$K$371,$B14,COLUMN()-1))</f>
        <v>0</v>
      </c>
      <c r="L14" s="27" t="str">
        <f t="shared" si="1"/>
        <v/>
      </c>
    </row>
    <row r="15" spans="2:12" x14ac:dyDescent="0.2">
      <c r="B15" s="15">
        <f t="shared" si="0"/>
        <v>36</v>
      </c>
      <c r="C15" s="16">
        <f t="shared" si="2"/>
        <v>3</v>
      </c>
      <c r="D15" s="17">
        <f>IF(B15="","",INDEX('Debt Payment (Monthly)'!$B$12:$K$371,$B15,COLUMN()-1))</f>
        <v>0</v>
      </c>
      <c r="E15" s="17">
        <f>IF(C15="","",INDEX('Debt Payment (Monthly)'!$B$12:$K$371,$B15,COLUMN()-1))</f>
        <v>0</v>
      </c>
      <c r="F15" s="17">
        <f>IF(D15="","",INDEX('Debt Payment (Monthly)'!$B$12:$K$371,$B15,COLUMN()-1))</f>
        <v>0</v>
      </c>
      <c r="G15" s="17">
        <f>IF(E15="","",INDEX('Debt Payment (Monthly)'!$B$12:$K$371,$B15,COLUMN()-1))</f>
        <v>0</v>
      </c>
      <c r="H15" s="17">
        <f>IF(F15="","",INDEX('Debt Payment (Monthly)'!$B$12:$K$371,$B15,COLUMN()-1))</f>
        <v>0</v>
      </c>
      <c r="I15" s="17">
        <f>IF(G15="","",INDEX('Debt Payment (Monthly)'!$B$12:$K$371,$B15,COLUMN()-1))</f>
        <v>0</v>
      </c>
      <c r="J15" s="17">
        <f>IF(H15="","",INDEX('Debt Payment (Monthly)'!$B$12:$K$371,$B15,COLUMN()-1))</f>
        <v>0</v>
      </c>
      <c r="K15" s="18">
        <f>IF(I15="","",INDEX('Debt Payment (Monthly)'!$B$12:$K$371,$B15,COLUMN()-1))</f>
        <v>0</v>
      </c>
      <c r="L15" s="27" t="str">
        <f t="shared" si="1"/>
        <v/>
      </c>
    </row>
    <row r="16" spans="2:12" x14ac:dyDescent="0.2">
      <c r="B16" s="15">
        <f t="shared" si="0"/>
        <v>48</v>
      </c>
      <c r="C16" s="16">
        <f t="shared" si="2"/>
        <v>4</v>
      </c>
      <c r="D16" s="17">
        <f>IF(B16="","",INDEX('Debt Payment (Monthly)'!$B$12:$K$371,$B16,COLUMN()-1))</f>
        <v>0</v>
      </c>
      <c r="E16" s="17">
        <f>IF(C16="","",INDEX('Debt Payment (Monthly)'!$B$12:$K$371,$B16,COLUMN()-1))</f>
        <v>0</v>
      </c>
      <c r="F16" s="17">
        <f>IF(D16="","",INDEX('Debt Payment (Monthly)'!$B$12:$K$371,$B16,COLUMN()-1))</f>
        <v>0</v>
      </c>
      <c r="G16" s="17">
        <f>IF(E16="","",INDEX('Debt Payment (Monthly)'!$B$12:$K$371,$B16,COLUMN()-1))</f>
        <v>0</v>
      </c>
      <c r="H16" s="17">
        <f>IF(F16="","",INDEX('Debt Payment (Monthly)'!$B$12:$K$371,$B16,COLUMN()-1))</f>
        <v>0</v>
      </c>
      <c r="I16" s="17">
        <f>IF(G16="","",INDEX('Debt Payment (Monthly)'!$B$12:$K$371,$B16,COLUMN()-1))</f>
        <v>0</v>
      </c>
      <c r="J16" s="17">
        <f>IF(H16="","",INDEX('Debt Payment (Monthly)'!$B$12:$K$371,$B16,COLUMN()-1))</f>
        <v>0</v>
      </c>
      <c r="K16" s="18">
        <f>IF(I16="","",INDEX('Debt Payment (Monthly)'!$B$12:$K$371,$B16,COLUMN()-1))</f>
        <v>0</v>
      </c>
      <c r="L16" s="27" t="str">
        <f t="shared" si="1"/>
        <v/>
      </c>
    </row>
    <row r="17" spans="2:12" x14ac:dyDescent="0.2">
      <c r="B17" s="15">
        <f t="shared" si="0"/>
        <v>60</v>
      </c>
      <c r="C17" s="16">
        <f t="shared" si="2"/>
        <v>5</v>
      </c>
      <c r="D17" s="17">
        <f>IF(B17="","",INDEX('Debt Payment (Monthly)'!$B$12:$K$371,$B17,COLUMN()-1))</f>
        <v>0</v>
      </c>
      <c r="E17" s="17">
        <f>IF(C17="","",INDEX('Debt Payment (Monthly)'!$B$12:$K$371,$B17,COLUMN()-1))</f>
        <v>0</v>
      </c>
      <c r="F17" s="17">
        <f>IF(D17="","",INDEX('Debt Payment (Monthly)'!$B$12:$K$371,$B17,COLUMN()-1))</f>
        <v>0</v>
      </c>
      <c r="G17" s="17">
        <f>IF(E17="","",INDEX('Debt Payment (Monthly)'!$B$12:$K$371,$B17,COLUMN()-1))</f>
        <v>0</v>
      </c>
      <c r="H17" s="17">
        <f>IF(F17="","",INDEX('Debt Payment (Monthly)'!$B$12:$K$371,$B17,COLUMN()-1))</f>
        <v>0</v>
      </c>
      <c r="I17" s="17">
        <f>IF(G17="","",INDEX('Debt Payment (Monthly)'!$B$12:$K$371,$B17,COLUMN()-1))</f>
        <v>0</v>
      </c>
      <c r="J17" s="17">
        <f>IF(H17="","",INDEX('Debt Payment (Monthly)'!$B$12:$K$371,$B17,COLUMN()-1))</f>
        <v>0</v>
      </c>
      <c r="K17" s="18">
        <f>IF(I17="","",INDEX('Debt Payment (Monthly)'!$B$12:$K$371,$B17,COLUMN()-1))</f>
        <v>0</v>
      </c>
      <c r="L17" s="27" t="str">
        <f t="shared" si="1"/>
        <v/>
      </c>
    </row>
    <row r="18" spans="2:12" x14ac:dyDescent="0.2">
      <c r="B18" s="15">
        <f t="shared" si="0"/>
        <v>72</v>
      </c>
      <c r="C18" s="16">
        <f t="shared" si="2"/>
        <v>6</v>
      </c>
      <c r="D18" s="17">
        <f>IF(B18="","",INDEX('Debt Payment (Monthly)'!$B$12:$K$371,$B18,COLUMN()-1))</f>
        <v>0</v>
      </c>
      <c r="E18" s="17">
        <f>IF(C18="","",INDEX('Debt Payment (Monthly)'!$B$12:$K$371,$B18,COLUMN()-1))</f>
        <v>0</v>
      </c>
      <c r="F18" s="17">
        <f>IF(D18="","",INDEX('Debt Payment (Monthly)'!$B$12:$K$371,$B18,COLUMN()-1))</f>
        <v>0</v>
      </c>
      <c r="G18" s="17">
        <f>IF(E18="","",INDEX('Debt Payment (Monthly)'!$B$12:$K$371,$B18,COLUMN()-1))</f>
        <v>0</v>
      </c>
      <c r="H18" s="17">
        <f>IF(F18="","",INDEX('Debt Payment (Monthly)'!$B$12:$K$371,$B18,COLUMN()-1))</f>
        <v>0</v>
      </c>
      <c r="I18" s="17">
        <f>IF(G18="","",INDEX('Debt Payment (Monthly)'!$B$12:$K$371,$B18,COLUMN()-1))</f>
        <v>0</v>
      </c>
      <c r="J18" s="17">
        <f>IF(H18="","",INDEX('Debt Payment (Monthly)'!$B$12:$K$371,$B18,COLUMN()-1))</f>
        <v>0</v>
      </c>
      <c r="K18" s="18">
        <f>IF(I18="","",INDEX('Debt Payment (Monthly)'!$B$12:$K$371,$B18,COLUMN()-1))</f>
        <v>0</v>
      </c>
      <c r="L18" s="27" t="str">
        <f t="shared" si="1"/>
        <v/>
      </c>
    </row>
    <row r="19" spans="2:12" x14ac:dyDescent="0.2">
      <c r="B19" s="15">
        <f t="shared" si="0"/>
        <v>84</v>
      </c>
      <c r="C19" s="16">
        <f t="shared" si="2"/>
        <v>7</v>
      </c>
      <c r="D19" s="17">
        <f>IF(B19="","",INDEX('Debt Payment (Monthly)'!$B$12:$K$371,$B19,COLUMN()-1))</f>
        <v>0</v>
      </c>
      <c r="E19" s="17">
        <f>IF(C19="","",INDEX('Debt Payment (Monthly)'!$B$12:$K$371,$B19,COLUMN()-1))</f>
        <v>0</v>
      </c>
      <c r="F19" s="17">
        <f>IF(D19="","",INDEX('Debt Payment (Monthly)'!$B$12:$K$371,$B19,COLUMN()-1))</f>
        <v>0</v>
      </c>
      <c r="G19" s="17">
        <f>IF(E19="","",INDEX('Debt Payment (Monthly)'!$B$12:$K$371,$B19,COLUMN()-1))</f>
        <v>0</v>
      </c>
      <c r="H19" s="17">
        <f>IF(F19="","",INDEX('Debt Payment (Monthly)'!$B$12:$K$371,$B19,COLUMN()-1))</f>
        <v>0</v>
      </c>
      <c r="I19" s="17">
        <f>IF(G19="","",INDEX('Debt Payment (Monthly)'!$B$12:$K$371,$B19,COLUMN()-1))</f>
        <v>0</v>
      </c>
      <c r="J19" s="17">
        <f>IF(H19="","",INDEX('Debt Payment (Monthly)'!$B$12:$K$371,$B19,COLUMN()-1))</f>
        <v>0</v>
      </c>
      <c r="K19" s="18">
        <f>IF(I19="","",INDEX('Debt Payment (Monthly)'!$B$12:$K$371,$B19,COLUMN()-1))</f>
        <v>0</v>
      </c>
      <c r="L19" s="27" t="str">
        <f t="shared" si="1"/>
        <v/>
      </c>
    </row>
    <row r="20" spans="2:12" x14ac:dyDescent="0.2">
      <c r="B20" s="15">
        <f t="shared" si="0"/>
        <v>96</v>
      </c>
      <c r="C20" s="16">
        <f t="shared" si="2"/>
        <v>8</v>
      </c>
      <c r="D20" s="17">
        <f>IF(B20="","",INDEX('Debt Payment (Monthly)'!$B$12:$K$371,$B20,COLUMN()-1))</f>
        <v>0</v>
      </c>
      <c r="E20" s="17">
        <f>IF(C20="","",INDEX('Debt Payment (Monthly)'!$B$12:$K$371,$B20,COLUMN()-1))</f>
        <v>0</v>
      </c>
      <c r="F20" s="17">
        <f>IF(D20="","",INDEX('Debt Payment (Monthly)'!$B$12:$K$371,$B20,COLUMN()-1))</f>
        <v>0</v>
      </c>
      <c r="G20" s="17">
        <f>IF(E20="","",INDEX('Debt Payment (Monthly)'!$B$12:$K$371,$B20,COLUMN()-1))</f>
        <v>0</v>
      </c>
      <c r="H20" s="17">
        <f>IF(F20="","",INDEX('Debt Payment (Monthly)'!$B$12:$K$371,$B20,COLUMN()-1))</f>
        <v>0</v>
      </c>
      <c r="I20" s="17">
        <f>IF(G20="","",INDEX('Debt Payment (Monthly)'!$B$12:$K$371,$B20,COLUMN()-1))</f>
        <v>0</v>
      </c>
      <c r="J20" s="17">
        <f>IF(H20="","",INDEX('Debt Payment (Monthly)'!$B$12:$K$371,$B20,COLUMN()-1))</f>
        <v>0</v>
      </c>
      <c r="K20" s="18">
        <f>IF(I20="","",INDEX('Debt Payment (Monthly)'!$B$12:$K$371,$B20,COLUMN()-1))</f>
        <v>0</v>
      </c>
      <c r="L20" s="27" t="str">
        <f t="shared" si="1"/>
        <v/>
      </c>
    </row>
    <row r="21" spans="2:12" x14ac:dyDescent="0.2">
      <c r="B21" s="15">
        <f t="shared" si="0"/>
        <v>108</v>
      </c>
      <c r="C21" s="16">
        <f t="shared" si="2"/>
        <v>9</v>
      </c>
      <c r="D21" s="17">
        <f>IF(B21="","",INDEX('Debt Payment (Monthly)'!$B$12:$K$371,$B21,COLUMN()-1))</f>
        <v>0</v>
      </c>
      <c r="E21" s="17">
        <f>IF(C21="","",INDEX('Debt Payment (Monthly)'!$B$12:$K$371,$B21,COLUMN()-1))</f>
        <v>0</v>
      </c>
      <c r="F21" s="17">
        <f>IF(D21="","",INDEX('Debt Payment (Monthly)'!$B$12:$K$371,$B21,COLUMN()-1))</f>
        <v>0</v>
      </c>
      <c r="G21" s="17">
        <f>IF(E21="","",INDEX('Debt Payment (Monthly)'!$B$12:$K$371,$B21,COLUMN()-1))</f>
        <v>0</v>
      </c>
      <c r="H21" s="17">
        <f>IF(F21="","",INDEX('Debt Payment (Monthly)'!$B$12:$K$371,$B21,COLUMN()-1))</f>
        <v>0</v>
      </c>
      <c r="I21" s="17">
        <f>IF(G21="","",INDEX('Debt Payment (Monthly)'!$B$12:$K$371,$B21,COLUMN()-1))</f>
        <v>0</v>
      </c>
      <c r="J21" s="17">
        <f>IF(H21="","",INDEX('Debt Payment (Monthly)'!$B$12:$K$371,$B21,COLUMN()-1))</f>
        <v>0</v>
      </c>
      <c r="K21" s="18">
        <f>IF(I21="","",INDEX('Debt Payment (Monthly)'!$B$12:$K$371,$B21,COLUMN()-1))</f>
        <v>0</v>
      </c>
      <c r="L21" s="27" t="str">
        <f t="shared" si="1"/>
        <v/>
      </c>
    </row>
    <row r="22" spans="2:12" x14ac:dyDescent="0.2">
      <c r="B22" s="15">
        <f t="shared" si="0"/>
        <v>120</v>
      </c>
      <c r="C22" s="16">
        <f t="shared" si="2"/>
        <v>10</v>
      </c>
      <c r="D22" s="17">
        <f>IF(B22="","",INDEX('Debt Payment (Monthly)'!$B$12:$K$371,$B22,COLUMN()-1))</f>
        <v>0</v>
      </c>
      <c r="E22" s="17">
        <f>IF(C22="","",INDEX('Debt Payment (Monthly)'!$B$12:$K$371,$B22,COLUMN()-1))</f>
        <v>0</v>
      </c>
      <c r="F22" s="17">
        <f>IF(D22="","",INDEX('Debt Payment (Monthly)'!$B$12:$K$371,$B22,COLUMN()-1))</f>
        <v>0</v>
      </c>
      <c r="G22" s="17">
        <f>IF(E22="","",INDEX('Debt Payment (Monthly)'!$B$12:$K$371,$B22,COLUMN()-1))</f>
        <v>0</v>
      </c>
      <c r="H22" s="17">
        <f>IF(F22="","",INDEX('Debt Payment (Monthly)'!$B$12:$K$371,$B22,COLUMN()-1))</f>
        <v>0</v>
      </c>
      <c r="I22" s="17">
        <f>IF(G22="","",INDEX('Debt Payment (Monthly)'!$B$12:$K$371,$B22,COLUMN()-1))</f>
        <v>0</v>
      </c>
      <c r="J22" s="17">
        <f>IF(H22="","",INDEX('Debt Payment (Monthly)'!$B$12:$K$371,$B22,COLUMN()-1))</f>
        <v>0</v>
      </c>
      <c r="K22" s="18">
        <f>IF(I22="","",INDEX('Debt Payment (Monthly)'!$B$12:$K$371,$B22,COLUMN()-1))</f>
        <v>0</v>
      </c>
      <c r="L22" s="27" t="str">
        <f t="shared" si="1"/>
        <v/>
      </c>
    </row>
    <row r="23" spans="2:12" x14ac:dyDescent="0.2">
      <c r="B23" s="15">
        <f t="shared" si="0"/>
        <v>132</v>
      </c>
      <c r="C23" s="16">
        <f t="shared" si="2"/>
        <v>11</v>
      </c>
      <c r="D23" s="17">
        <f>IF(B23="","",INDEX('Debt Payment (Monthly)'!$B$12:$K$371,$B23,COLUMN()-1))</f>
        <v>0</v>
      </c>
      <c r="E23" s="17">
        <f>IF(C23="","",INDEX('Debt Payment (Monthly)'!$B$12:$K$371,$B23,COLUMN()-1))</f>
        <v>0</v>
      </c>
      <c r="F23" s="17">
        <f>IF(D23="","",INDEX('Debt Payment (Monthly)'!$B$12:$K$371,$B23,COLUMN()-1))</f>
        <v>0</v>
      </c>
      <c r="G23" s="17">
        <f>IF(E23="","",INDEX('Debt Payment (Monthly)'!$B$12:$K$371,$B23,COLUMN()-1))</f>
        <v>0</v>
      </c>
      <c r="H23" s="17">
        <f>IF(F23="","",INDEX('Debt Payment (Monthly)'!$B$12:$K$371,$B23,COLUMN()-1))</f>
        <v>0</v>
      </c>
      <c r="I23" s="17">
        <f>IF(G23="","",INDEX('Debt Payment (Monthly)'!$B$12:$K$371,$B23,COLUMN()-1))</f>
        <v>0</v>
      </c>
      <c r="J23" s="17">
        <f>IF(H23="","",INDEX('Debt Payment (Monthly)'!$B$12:$K$371,$B23,COLUMN()-1))</f>
        <v>0</v>
      </c>
      <c r="K23" s="18">
        <f>IF(I23="","",INDEX('Debt Payment (Monthly)'!$B$12:$K$371,$B23,COLUMN()-1))</f>
        <v>0</v>
      </c>
      <c r="L23" s="27" t="str">
        <f t="shared" si="1"/>
        <v/>
      </c>
    </row>
    <row r="24" spans="2:12" x14ac:dyDescent="0.2">
      <c r="B24" s="15">
        <f t="shared" si="0"/>
        <v>144</v>
      </c>
      <c r="C24" s="16">
        <f t="shared" si="2"/>
        <v>12</v>
      </c>
      <c r="D24" s="17">
        <f>IF(B24="","",INDEX('Debt Payment (Monthly)'!$B$12:$K$371,$B24,COLUMN()-1))</f>
        <v>0</v>
      </c>
      <c r="E24" s="17">
        <f>IF(C24="","",INDEX('Debt Payment (Monthly)'!$B$12:$K$371,$B24,COLUMN()-1))</f>
        <v>0</v>
      </c>
      <c r="F24" s="17">
        <f>IF(D24="","",INDEX('Debt Payment (Monthly)'!$B$12:$K$371,$B24,COLUMN()-1))</f>
        <v>0</v>
      </c>
      <c r="G24" s="17">
        <f>IF(E24="","",INDEX('Debt Payment (Monthly)'!$B$12:$K$371,$B24,COLUMN()-1))</f>
        <v>0</v>
      </c>
      <c r="H24" s="17">
        <f>IF(F24="","",INDEX('Debt Payment (Monthly)'!$B$12:$K$371,$B24,COLUMN()-1))</f>
        <v>0</v>
      </c>
      <c r="I24" s="17">
        <f>IF(G24="","",INDEX('Debt Payment (Monthly)'!$B$12:$K$371,$B24,COLUMN()-1))</f>
        <v>0</v>
      </c>
      <c r="J24" s="17">
        <f>IF(H24="","",INDEX('Debt Payment (Monthly)'!$B$12:$K$371,$B24,COLUMN()-1))</f>
        <v>0</v>
      </c>
      <c r="K24" s="18">
        <f>IF(I24="","",INDEX('Debt Payment (Monthly)'!$B$12:$K$371,$B24,COLUMN()-1))</f>
        <v>0</v>
      </c>
      <c r="L24" s="27" t="str">
        <f t="shared" si="1"/>
        <v/>
      </c>
    </row>
    <row r="25" spans="2:12" x14ac:dyDescent="0.2">
      <c r="B25" s="15">
        <f t="shared" si="0"/>
        <v>156</v>
      </c>
      <c r="C25" s="16">
        <f t="shared" si="2"/>
        <v>13</v>
      </c>
      <c r="D25" s="17">
        <f>IF(B25="","",INDEX('Debt Payment (Monthly)'!$B$12:$K$371,$B25,COLUMN()-1))</f>
        <v>0</v>
      </c>
      <c r="E25" s="17">
        <f>IF(C25="","",INDEX('Debt Payment (Monthly)'!$B$12:$K$371,$B25,COLUMN()-1))</f>
        <v>0</v>
      </c>
      <c r="F25" s="17">
        <f>IF(D25="","",INDEX('Debt Payment (Monthly)'!$B$12:$K$371,$B25,COLUMN()-1))</f>
        <v>0</v>
      </c>
      <c r="G25" s="17">
        <f>IF(E25="","",INDEX('Debt Payment (Monthly)'!$B$12:$K$371,$B25,COLUMN()-1))</f>
        <v>0</v>
      </c>
      <c r="H25" s="17">
        <f>IF(F25="","",INDEX('Debt Payment (Monthly)'!$B$12:$K$371,$B25,COLUMN()-1))</f>
        <v>0</v>
      </c>
      <c r="I25" s="17">
        <f>IF(G25="","",INDEX('Debt Payment (Monthly)'!$B$12:$K$371,$B25,COLUMN()-1))</f>
        <v>0</v>
      </c>
      <c r="J25" s="17">
        <f>IF(H25="","",INDEX('Debt Payment (Monthly)'!$B$12:$K$371,$B25,COLUMN()-1))</f>
        <v>0</v>
      </c>
      <c r="K25" s="18">
        <f>IF(I25="","",INDEX('Debt Payment (Monthly)'!$B$12:$K$371,$B25,COLUMN()-1))</f>
        <v>0</v>
      </c>
      <c r="L25" s="27" t="str">
        <f t="shared" si="1"/>
        <v/>
      </c>
    </row>
    <row r="26" spans="2:12" x14ac:dyDescent="0.2">
      <c r="B26" s="15">
        <f t="shared" si="0"/>
        <v>168</v>
      </c>
      <c r="C26" s="16">
        <f t="shared" si="2"/>
        <v>14</v>
      </c>
      <c r="D26" s="17">
        <f>IF(B26="","",INDEX('Debt Payment (Monthly)'!$B$12:$K$371,$B26,COLUMN()-1))</f>
        <v>0</v>
      </c>
      <c r="E26" s="17">
        <f>IF(C26="","",INDEX('Debt Payment (Monthly)'!$B$12:$K$371,$B26,COLUMN()-1))</f>
        <v>0</v>
      </c>
      <c r="F26" s="17">
        <f>IF(D26="","",INDEX('Debt Payment (Monthly)'!$B$12:$K$371,$B26,COLUMN()-1))</f>
        <v>0</v>
      </c>
      <c r="G26" s="17">
        <f>IF(E26="","",INDEX('Debt Payment (Monthly)'!$B$12:$K$371,$B26,COLUMN()-1))</f>
        <v>0</v>
      </c>
      <c r="H26" s="17">
        <f>IF(F26="","",INDEX('Debt Payment (Monthly)'!$B$12:$K$371,$B26,COLUMN()-1))</f>
        <v>0</v>
      </c>
      <c r="I26" s="17">
        <f>IF(G26="","",INDEX('Debt Payment (Monthly)'!$B$12:$K$371,$B26,COLUMN()-1))</f>
        <v>0</v>
      </c>
      <c r="J26" s="17">
        <f>IF(H26="","",INDEX('Debt Payment (Monthly)'!$B$12:$K$371,$B26,COLUMN()-1))</f>
        <v>0</v>
      </c>
      <c r="K26" s="18">
        <f>IF(I26="","",INDEX('Debt Payment (Monthly)'!$B$12:$K$371,$B26,COLUMN()-1))</f>
        <v>0</v>
      </c>
      <c r="L26" s="27" t="str">
        <f t="shared" si="1"/>
        <v/>
      </c>
    </row>
    <row r="27" spans="2:12" x14ac:dyDescent="0.2">
      <c r="B27" s="15">
        <f t="shared" si="0"/>
        <v>180</v>
      </c>
      <c r="C27" s="16">
        <f t="shared" si="2"/>
        <v>15</v>
      </c>
      <c r="D27" s="17">
        <f>IF(B27="","",INDEX('Debt Payment (Monthly)'!$B$12:$K$371,$B27,COLUMN()-1))</f>
        <v>0</v>
      </c>
      <c r="E27" s="17">
        <f>IF(C27="","",INDEX('Debt Payment (Monthly)'!$B$12:$K$371,$B27,COLUMN()-1))</f>
        <v>0</v>
      </c>
      <c r="F27" s="17">
        <f>IF(D27="","",INDEX('Debt Payment (Monthly)'!$B$12:$K$371,$B27,COLUMN()-1))</f>
        <v>0</v>
      </c>
      <c r="G27" s="17">
        <f>IF(E27="","",INDEX('Debt Payment (Monthly)'!$B$12:$K$371,$B27,COLUMN()-1))</f>
        <v>0</v>
      </c>
      <c r="H27" s="17">
        <f>IF(F27="","",INDEX('Debt Payment (Monthly)'!$B$12:$K$371,$B27,COLUMN()-1))</f>
        <v>0</v>
      </c>
      <c r="I27" s="17">
        <f>IF(G27="","",INDEX('Debt Payment (Monthly)'!$B$12:$K$371,$B27,COLUMN()-1))</f>
        <v>0</v>
      </c>
      <c r="J27" s="17">
        <f>IF(H27="","",INDEX('Debt Payment (Monthly)'!$B$12:$K$371,$B27,COLUMN()-1))</f>
        <v>0</v>
      </c>
      <c r="K27" s="18">
        <f>IF(I27="","",INDEX('Debt Payment (Monthly)'!$B$12:$K$371,$B27,COLUMN()-1))</f>
        <v>0</v>
      </c>
      <c r="L27" s="27" t="e">
        <f t="shared" si="1"/>
        <v>#DIV/0!</v>
      </c>
    </row>
    <row r="28" spans="2:12" x14ac:dyDescent="0.2">
      <c r="B28" s="15" t="str">
        <f t="shared" si="0"/>
        <v/>
      </c>
      <c r="C28" s="16" t="str">
        <f t="shared" si="2"/>
        <v/>
      </c>
      <c r="D28" s="17" t="str">
        <f>IF(B28="","",INDEX('Debt Payment (Monthly)'!$B$12:$K$371,$B28,COLUMN()-1))</f>
        <v/>
      </c>
      <c r="E28" s="17" t="str">
        <f>IF(C28="","",INDEX('Debt Payment (Monthly)'!$B$12:$K$371,$B28,COLUMN()-1))</f>
        <v/>
      </c>
      <c r="F28" s="17" t="str">
        <f>IF(D28="","",INDEX('Debt Payment (Monthly)'!$B$12:$K$371,$B28,COLUMN()-1))</f>
        <v/>
      </c>
      <c r="G28" s="17" t="str">
        <f>IF(E28="","",INDEX('Debt Payment (Monthly)'!$B$12:$K$371,$B28,COLUMN()-1))</f>
        <v/>
      </c>
      <c r="H28" s="17" t="str">
        <f>IF(F28="","",INDEX('Debt Payment (Monthly)'!$B$12:$K$371,$B28,COLUMN()-1))</f>
        <v/>
      </c>
      <c r="I28" s="17" t="str">
        <f>IF(G28="","",INDEX('Debt Payment (Monthly)'!$B$12:$K$371,$B28,COLUMN()-1))</f>
        <v/>
      </c>
      <c r="J28" s="17" t="str">
        <f>IF(H28="","",INDEX('Debt Payment (Monthly)'!$B$12:$K$371,$B28,COLUMN()-1))</f>
        <v/>
      </c>
      <c r="K28" s="18" t="str">
        <f>IF(I28="","",INDEX('Debt Payment (Monthly)'!$B$12:$K$371,$B28,COLUMN()-1))</f>
        <v/>
      </c>
      <c r="L28" s="27" t="str">
        <f t="shared" si="1"/>
        <v/>
      </c>
    </row>
    <row r="29" spans="2:12" x14ac:dyDescent="0.2">
      <c r="B29" s="15" t="str">
        <f t="shared" si="0"/>
        <v/>
      </c>
      <c r="C29" s="16" t="str">
        <f t="shared" si="2"/>
        <v/>
      </c>
      <c r="D29" s="17" t="str">
        <f>IF(B29="","",INDEX('Debt Payment (Monthly)'!$B$12:$K$371,$B29,COLUMN()-1))</f>
        <v/>
      </c>
      <c r="E29" s="17" t="str">
        <f>IF(C29="","",INDEX('Debt Payment (Monthly)'!$B$12:$K$371,$B29,COLUMN()-1))</f>
        <v/>
      </c>
      <c r="F29" s="17" t="str">
        <f>IF(D29="","",INDEX('Debt Payment (Monthly)'!$B$12:$K$371,$B29,COLUMN()-1))</f>
        <v/>
      </c>
      <c r="G29" s="17" t="str">
        <f>IF(E29="","",INDEX('Debt Payment (Monthly)'!$B$12:$K$371,$B29,COLUMN()-1))</f>
        <v/>
      </c>
      <c r="H29" s="17" t="str">
        <f>IF(F29="","",INDEX('Debt Payment (Monthly)'!$B$12:$K$371,$B29,COLUMN()-1))</f>
        <v/>
      </c>
      <c r="I29" s="17" t="str">
        <f>IF(G29="","",INDEX('Debt Payment (Monthly)'!$B$12:$K$371,$B29,COLUMN()-1))</f>
        <v/>
      </c>
      <c r="J29" s="17" t="str">
        <f>IF(H29="","",INDEX('Debt Payment (Monthly)'!$B$12:$K$371,$B29,COLUMN()-1))</f>
        <v/>
      </c>
      <c r="K29" s="18" t="str">
        <f>IF(I29="","",INDEX('Debt Payment (Monthly)'!$B$12:$K$371,$B29,COLUMN()-1))</f>
        <v/>
      </c>
      <c r="L29" s="27" t="str">
        <f t="shared" si="1"/>
        <v/>
      </c>
    </row>
    <row r="30" spans="2:12" x14ac:dyDescent="0.2">
      <c r="B30" s="15" t="str">
        <f t="shared" si="0"/>
        <v/>
      </c>
      <c r="C30" s="16" t="str">
        <f t="shared" si="2"/>
        <v/>
      </c>
      <c r="D30" s="17" t="str">
        <f>IF(B30="","",INDEX('Debt Payment (Monthly)'!$B$12:$K$371,$B30,COLUMN()-1))</f>
        <v/>
      </c>
      <c r="E30" s="17" t="str">
        <f>IF(C30="","",INDEX('Debt Payment (Monthly)'!$B$12:$K$371,$B30,COLUMN()-1))</f>
        <v/>
      </c>
      <c r="F30" s="17" t="str">
        <f>IF(D30="","",INDEX('Debt Payment (Monthly)'!$B$12:$K$371,$B30,COLUMN()-1))</f>
        <v/>
      </c>
      <c r="G30" s="17" t="str">
        <f>IF(E30="","",INDEX('Debt Payment (Monthly)'!$B$12:$K$371,$B30,COLUMN()-1))</f>
        <v/>
      </c>
      <c r="H30" s="17" t="str">
        <f>IF(F30="","",INDEX('Debt Payment (Monthly)'!$B$12:$K$371,$B30,COLUMN()-1))</f>
        <v/>
      </c>
      <c r="I30" s="17" t="str">
        <f>IF(G30="","",INDEX('Debt Payment (Monthly)'!$B$12:$K$371,$B30,COLUMN()-1))</f>
        <v/>
      </c>
      <c r="J30" s="17" t="str">
        <f>IF(H30="","",INDEX('Debt Payment (Monthly)'!$B$12:$K$371,$B30,COLUMN()-1))</f>
        <v/>
      </c>
      <c r="K30" s="18" t="str">
        <f>IF(I30="","",INDEX('Debt Payment (Monthly)'!$B$12:$K$371,$B30,COLUMN()-1))</f>
        <v/>
      </c>
      <c r="L30" s="27" t="str">
        <f t="shared" si="1"/>
        <v/>
      </c>
    </row>
    <row r="31" spans="2:12" x14ac:dyDescent="0.2">
      <c r="B31" s="15" t="str">
        <f t="shared" si="0"/>
        <v/>
      </c>
      <c r="C31" s="16" t="str">
        <f t="shared" si="2"/>
        <v/>
      </c>
      <c r="D31" s="17" t="str">
        <f>IF(B31="","",INDEX('Debt Payment (Monthly)'!$B$12:$K$371,$B31,COLUMN()-1))</f>
        <v/>
      </c>
      <c r="E31" s="17" t="str">
        <f>IF(C31="","",INDEX('Debt Payment (Monthly)'!$B$12:$K$371,$B31,COLUMN()-1))</f>
        <v/>
      </c>
      <c r="F31" s="17" t="str">
        <f>IF(D31="","",INDEX('Debt Payment (Monthly)'!$B$12:$K$371,$B31,COLUMN()-1))</f>
        <v/>
      </c>
      <c r="G31" s="17" t="str">
        <f>IF(E31="","",INDEX('Debt Payment (Monthly)'!$B$12:$K$371,$B31,COLUMN()-1))</f>
        <v/>
      </c>
      <c r="H31" s="17" t="str">
        <f>IF(F31="","",INDEX('Debt Payment (Monthly)'!$B$12:$K$371,$B31,COLUMN()-1))</f>
        <v/>
      </c>
      <c r="I31" s="17" t="str">
        <f>IF(G31="","",INDEX('Debt Payment (Monthly)'!$B$12:$K$371,$B31,COLUMN()-1))</f>
        <v/>
      </c>
      <c r="J31" s="17" t="str">
        <f>IF(H31="","",INDEX('Debt Payment (Monthly)'!$B$12:$K$371,$B31,COLUMN()-1))</f>
        <v/>
      </c>
      <c r="K31" s="18" t="str">
        <f>IF(I31="","",INDEX('Debt Payment (Monthly)'!$B$12:$K$371,$B31,COLUMN()-1))</f>
        <v/>
      </c>
      <c r="L31" s="27" t="str">
        <f t="shared" si="1"/>
        <v/>
      </c>
    </row>
    <row r="32" spans="2:12" x14ac:dyDescent="0.2">
      <c r="B32" s="15" t="str">
        <f t="shared" si="0"/>
        <v/>
      </c>
      <c r="C32" s="16" t="str">
        <f t="shared" si="2"/>
        <v/>
      </c>
      <c r="D32" s="17" t="str">
        <f>IF(B32="","",INDEX('Debt Payment (Monthly)'!$B$12:$K$371,$B32,COLUMN()-1))</f>
        <v/>
      </c>
      <c r="E32" s="17" t="str">
        <f>IF(C32="","",INDEX('Debt Payment (Monthly)'!$B$12:$K$371,$B32,COLUMN()-1))</f>
        <v/>
      </c>
      <c r="F32" s="17" t="str">
        <f>IF(D32="","",INDEX('Debt Payment (Monthly)'!$B$12:$K$371,$B32,COLUMN()-1))</f>
        <v/>
      </c>
      <c r="G32" s="17" t="str">
        <f>IF(E32="","",INDEX('Debt Payment (Monthly)'!$B$12:$K$371,$B32,COLUMN()-1))</f>
        <v/>
      </c>
      <c r="H32" s="17" t="str">
        <f>IF(F32="","",INDEX('Debt Payment (Monthly)'!$B$12:$K$371,$B32,COLUMN()-1))</f>
        <v/>
      </c>
      <c r="I32" s="17" t="str">
        <f>IF(G32="","",INDEX('Debt Payment (Monthly)'!$B$12:$K$371,$B32,COLUMN()-1))</f>
        <v/>
      </c>
      <c r="J32" s="17" t="str">
        <f>IF(H32="","",INDEX('Debt Payment (Monthly)'!$B$12:$K$371,$B32,COLUMN()-1))</f>
        <v/>
      </c>
      <c r="K32" s="18" t="str">
        <f>IF(I32="","",INDEX('Debt Payment (Monthly)'!$B$12:$K$371,$B32,COLUMN()-1))</f>
        <v/>
      </c>
      <c r="L32" s="27" t="str">
        <f t="shared" si="1"/>
        <v/>
      </c>
    </row>
    <row r="33" spans="2:12" x14ac:dyDescent="0.2">
      <c r="B33" s="15" t="str">
        <f t="shared" si="0"/>
        <v/>
      </c>
      <c r="C33" s="16" t="str">
        <f t="shared" si="2"/>
        <v/>
      </c>
      <c r="D33" s="17" t="str">
        <f>IF(B33="","",INDEX('Debt Payment (Monthly)'!$B$12:$K$371,$B33,COLUMN()-1))</f>
        <v/>
      </c>
      <c r="E33" s="17" t="str">
        <f>IF(C33="","",INDEX('Debt Payment (Monthly)'!$B$12:$K$371,$B33,COLUMN()-1))</f>
        <v/>
      </c>
      <c r="F33" s="17" t="str">
        <f>IF(D33="","",INDEX('Debt Payment (Monthly)'!$B$12:$K$371,$B33,COLUMN()-1))</f>
        <v/>
      </c>
      <c r="G33" s="17" t="str">
        <f>IF(E33="","",INDEX('Debt Payment (Monthly)'!$B$12:$K$371,$B33,COLUMN()-1))</f>
        <v/>
      </c>
      <c r="H33" s="17" t="str">
        <f>IF(F33="","",INDEX('Debt Payment (Monthly)'!$B$12:$K$371,$B33,COLUMN()-1))</f>
        <v/>
      </c>
      <c r="I33" s="17" t="str">
        <f>IF(G33="","",INDEX('Debt Payment (Monthly)'!$B$12:$K$371,$B33,COLUMN()-1))</f>
        <v/>
      </c>
      <c r="J33" s="17" t="str">
        <f>IF(H33="","",INDEX('Debt Payment (Monthly)'!$B$12:$K$371,$B33,COLUMN()-1))</f>
        <v/>
      </c>
      <c r="K33" s="18" t="str">
        <f>IF(I33="","",INDEX('Debt Payment (Monthly)'!$B$12:$K$371,$B33,COLUMN()-1))</f>
        <v/>
      </c>
      <c r="L33" s="27" t="str">
        <f t="shared" si="1"/>
        <v/>
      </c>
    </row>
    <row r="34" spans="2:12" x14ac:dyDescent="0.2">
      <c r="B34" s="15" t="str">
        <f t="shared" si="0"/>
        <v/>
      </c>
      <c r="C34" s="16" t="str">
        <f t="shared" si="2"/>
        <v/>
      </c>
      <c r="D34" s="17" t="str">
        <f>IF(B34="","",INDEX('Debt Payment (Monthly)'!$B$12:$K$371,$B34,COLUMN()-1))</f>
        <v/>
      </c>
      <c r="E34" s="17" t="str">
        <f>IF(C34="","",INDEX('Debt Payment (Monthly)'!$B$12:$K$371,$B34,COLUMN()-1))</f>
        <v/>
      </c>
      <c r="F34" s="17" t="str">
        <f>IF(D34="","",INDEX('Debt Payment (Monthly)'!$B$12:$K$371,$B34,COLUMN()-1))</f>
        <v/>
      </c>
      <c r="G34" s="17" t="str">
        <f>IF(E34="","",INDEX('Debt Payment (Monthly)'!$B$12:$K$371,$B34,COLUMN()-1))</f>
        <v/>
      </c>
      <c r="H34" s="17" t="str">
        <f>IF(F34="","",INDEX('Debt Payment (Monthly)'!$B$12:$K$371,$B34,COLUMN()-1))</f>
        <v/>
      </c>
      <c r="I34" s="17" t="str">
        <f>IF(G34="","",INDEX('Debt Payment (Monthly)'!$B$12:$K$371,$B34,COLUMN()-1))</f>
        <v/>
      </c>
      <c r="J34" s="17" t="str">
        <f>IF(H34="","",INDEX('Debt Payment (Monthly)'!$B$12:$K$371,$B34,COLUMN()-1))</f>
        <v/>
      </c>
      <c r="K34" s="18" t="str">
        <f>IF(I34="","",INDEX('Debt Payment (Monthly)'!$B$12:$K$371,$B34,COLUMN()-1))</f>
        <v/>
      </c>
      <c r="L34" s="27" t="str">
        <f t="shared" si="1"/>
        <v/>
      </c>
    </row>
    <row r="35" spans="2:12" x14ac:dyDescent="0.2">
      <c r="B35" s="15" t="str">
        <f t="shared" si="0"/>
        <v/>
      </c>
      <c r="C35" s="16" t="str">
        <f t="shared" si="2"/>
        <v/>
      </c>
      <c r="D35" s="17" t="str">
        <f>IF(B35="","",INDEX('Debt Payment (Monthly)'!$B$12:$K$371,$B35,COLUMN()-1))</f>
        <v/>
      </c>
      <c r="E35" s="17" t="str">
        <f>IF(C35="","",INDEX('Debt Payment (Monthly)'!$B$12:$K$371,$B35,COLUMN()-1))</f>
        <v/>
      </c>
      <c r="F35" s="17" t="str">
        <f>IF(D35="","",INDEX('Debt Payment (Monthly)'!$B$12:$K$371,$B35,COLUMN()-1))</f>
        <v/>
      </c>
      <c r="G35" s="17" t="str">
        <f>IF(E35="","",INDEX('Debt Payment (Monthly)'!$B$12:$K$371,$B35,COLUMN()-1))</f>
        <v/>
      </c>
      <c r="H35" s="17" t="str">
        <f>IF(F35="","",INDEX('Debt Payment (Monthly)'!$B$12:$K$371,$B35,COLUMN()-1))</f>
        <v/>
      </c>
      <c r="I35" s="17" t="str">
        <f>IF(G35="","",INDEX('Debt Payment (Monthly)'!$B$12:$K$371,$B35,COLUMN()-1))</f>
        <v/>
      </c>
      <c r="J35" s="17" t="str">
        <f>IF(H35="","",INDEX('Debt Payment (Monthly)'!$B$12:$K$371,$B35,COLUMN()-1))</f>
        <v/>
      </c>
      <c r="K35" s="18" t="str">
        <f>IF(I35="","",INDEX('Debt Payment (Monthly)'!$B$12:$K$371,$B35,COLUMN()-1))</f>
        <v/>
      </c>
      <c r="L35" s="27" t="str">
        <f t="shared" si="1"/>
        <v/>
      </c>
    </row>
    <row r="36" spans="2:12" x14ac:dyDescent="0.2">
      <c r="B36" s="15" t="str">
        <f t="shared" si="0"/>
        <v/>
      </c>
      <c r="C36" s="16" t="str">
        <f t="shared" si="2"/>
        <v/>
      </c>
      <c r="D36" s="17" t="str">
        <f>IF(B36="","",INDEX('Debt Payment (Monthly)'!$B$12:$K$371,$B36,COLUMN()-1))</f>
        <v/>
      </c>
      <c r="E36" s="17" t="str">
        <f>IF(C36="","",INDEX('Debt Payment (Monthly)'!$B$12:$K$371,$B36,COLUMN()-1))</f>
        <v/>
      </c>
      <c r="F36" s="17" t="str">
        <f>IF(D36="","",INDEX('Debt Payment (Monthly)'!$B$12:$K$371,$B36,COLUMN()-1))</f>
        <v/>
      </c>
      <c r="G36" s="17" t="str">
        <f>IF(E36="","",INDEX('Debt Payment (Monthly)'!$B$12:$K$371,$B36,COLUMN()-1))</f>
        <v/>
      </c>
      <c r="H36" s="17" t="str">
        <f>IF(F36="","",INDEX('Debt Payment (Monthly)'!$B$12:$K$371,$B36,COLUMN()-1))</f>
        <v/>
      </c>
      <c r="I36" s="17" t="str">
        <f>IF(G36="","",INDEX('Debt Payment (Monthly)'!$B$12:$K$371,$B36,COLUMN()-1))</f>
        <v/>
      </c>
      <c r="J36" s="17" t="str">
        <f>IF(H36="","",INDEX('Debt Payment (Monthly)'!$B$12:$K$371,$B36,COLUMN()-1))</f>
        <v/>
      </c>
      <c r="K36" s="18" t="str">
        <f>IF(I36="","",INDEX('Debt Payment (Monthly)'!$B$12:$K$371,$B36,COLUMN()-1))</f>
        <v/>
      </c>
      <c r="L36" s="27" t="str">
        <f t="shared" si="1"/>
        <v/>
      </c>
    </row>
    <row r="37" spans="2:12" x14ac:dyDescent="0.2">
      <c r="B37" s="15" t="str">
        <f t="shared" si="0"/>
        <v/>
      </c>
      <c r="C37" s="16" t="str">
        <f t="shared" si="2"/>
        <v/>
      </c>
      <c r="D37" s="17" t="str">
        <f>IF(B37="","",INDEX('Debt Payment (Monthly)'!$B$12:$K$371,$B37,COLUMN()-1))</f>
        <v/>
      </c>
      <c r="E37" s="17" t="str">
        <f>IF(C37="","",INDEX('Debt Payment (Monthly)'!$B$12:$K$371,$B37,COLUMN()-1))</f>
        <v/>
      </c>
      <c r="F37" s="17" t="str">
        <f>IF(D37="","",INDEX('Debt Payment (Monthly)'!$B$12:$K$371,$B37,COLUMN()-1))</f>
        <v/>
      </c>
      <c r="G37" s="17" t="str">
        <f>IF(E37="","",INDEX('Debt Payment (Monthly)'!$B$12:$K$371,$B37,COLUMN()-1))</f>
        <v/>
      </c>
      <c r="H37" s="17" t="str">
        <f>IF(F37="","",INDEX('Debt Payment (Monthly)'!$B$12:$K$371,$B37,COLUMN()-1))</f>
        <v/>
      </c>
      <c r="I37" s="17" t="str">
        <f>IF(G37="","",INDEX('Debt Payment (Monthly)'!$B$12:$K$371,$B37,COLUMN()-1))</f>
        <v/>
      </c>
      <c r="J37" s="17" t="str">
        <f>IF(H37="","",INDEX('Debt Payment (Monthly)'!$B$12:$K$371,$B37,COLUMN()-1))</f>
        <v/>
      </c>
      <c r="K37" s="18" t="str">
        <f>IF(I37="","",INDEX('Debt Payment (Monthly)'!$B$12:$K$371,$B37,COLUMN()-1))</f>
        <v/>
      </c>
      <c r="L37" s="27" t="str">
        <f t="shared" si="1"/>
        <v/>
      </c>
    </row>
    <row r="38" spans="2:12" x14ac:dyDescent="0.2">
      <c r="B38" s="15" t="str">
        <f t="shared" si="0"/>
        <v/>
      </c>
      <c r="C38" s="16" t="str">
        <f t="shared" si="2"/>
        <v/>
      </c>
      <c r="D38" s="17" t="str">
        <f>IF(B38="","",INDEX('Debt Payment (Monthly)'!$B$12:$K$371,$B38,COLUMN()-1))</f>
        <v/>
      </c>
      <c r="E38" s="17" t="str">
        <f>IF(C38="","",INDEX('Debt Payment (Monthly)'!$B$12:$K$371,$B38,COLUMN()-1))</f>
        <v/>
      </c>
      <c r="F38" s="17" t="str">
        <f>IF(D38="","",INDEX('Debt Payment (Monthly)'!$B$12:$K$371,$B38,COLUMN()-1))</f>
        <v/>
      </c>
      <c r="G38" s="17" t="str">
        <f>IF(E38="","",INDEX('Debt Payment (Monthly)'!$B$12:$K$371,$B38,COLUMN()-1))</f>
        <v/>
      </c>
      <c r="H38" s="17" t="str">
        <f>IF(F38="","",INDEX('Debt Payment (Monthly)'!$B$12:$K$371,$B38,COLUMN()-1))</f>
        <v/>
      </c>
      <c r="I38" s="17" t="str">
        <f>IF(G38="","",INDEX('Debt Payment (Monthly)'!$B$12:$K$371,$B38,COLUMN()-1))</f>
        <v/>
      </c>
      <c r="J38" s="17" t="str">
        <f>IF(H38="","",INDEX('Debt Payment (Monthly)'!$B$12:$K$371,$B38,COLUMN()-1))</f>
        <v/>
      </c>
      <c r="K38" s="18" t="str">
        <f>IF(I38="","",INDEX('Debt Payment (Monthly)'!$B$12:$K$371,$B38,COLUMN()-1))</f>
        <v/>
      </c>
      <c r="L38" s="27" t="str">
        <f t="shared" si="1"/>
        <v/>
      </c>
    </row>
    <row r="39" spans="2:12" x14ac:dyDescent="0.2">
      <c r="B39" s="15" t="str">
        <f t="shared" si="0"/>
        <v/>
      </c>
      <c r="C39" s="16" t="str">
        <f t="shared" si="2"/>
        <v/>
      </c>
      <c r="D39" s="17" t="str">
        <f>IF(B39="","",INDEX('Debt Payment (Monthly)'!$B$12:$K$371,$B39,COLUMN()-1))</f>
        <v/>
      </c>
      <c r="E39" s="17" t="str">
        <f>IF(C39="","",INDEX('Debt Payment (Monthly)'!$B$12:$K$371,$B39,COLUMN()-1))</f>
        <v/>
      </c>
      <c r="F39" s="17" t="str">
        <f>IF(D39="","",INDEX('Debt Payment (Monthly)'!$B$12:$K$371,$B39,COLUMN()-1))</f>
        <v/>
      </c>
      <c r="G39" s="17" t="str">
        <f>IF(E39="","",INDEX('Debt Payment (Monthly)'!$B$12:$K$371,$B39,COLUMN()-1))</f>
        <v/>
      </c>
      <c r="H39" s="17" t="str">
        <f>IF(F39="","",INDEX('Debt Payment (Monthly)'!$B$12:$K$371,$B39,COLUMN()-1))</f>
        <v/>
      </c>
      <c r="I39" s="17" t="str">
        <f>IF(G39="","",INDEX('Debt Payment (Monthly)'!$B$12:$K$371,$B39,COLUMN()-1))</f>
        <v/>
      </c>
      <c r="J39" s="17" t="str">
        <f>IF(H39="","",INDEX('Debt Payment (Monthly)'!$B$12:$K$371,$B39,COLUMN()-1))</f>
        <v/>
      </c>
      <c r="K39" s="18" t="str">
        <f>IF(I39="","",INDEX('Debt Payment (Monthly)'!$B$12:$K$371,$B39,COLUMN()-1))</f>
        <v/>
      </c>
      <c r="L39" s="27" t="str">
        <f t="shared" si="1"/>
        <v/>
      </c>
    </row>
    <row r="40" spans="2:12" x14ac:dyDescent="0.2">
      <c r="B40" s="15" t="str">
        <f t="shared" si="0"/>
        <v/>
      </c>
      <c r="C40" s="16" t="str">
        <f t="shared" si="2"/>
        <v/>
      </c>
      <c r="D40" s="17" t="str">
        <f>IF(B40="","",INDEX('Debt Payment (Monthly)'!$B$12:$K$371,$B40,COLUMN()-1))</f>
        <v/>
      </c>
      <c r="E40" s="17" t="str">
        <f>IF(C40="","",INDEX('Debt Payment (Monthly)'!$B$12:$K$371,$B40,COLUMN()-1))</f>
        <v/>
      </c>
      <c r="F40" s="17" t="str">
        <f>IF(D40="","",INDEX('Debt Payment (Monthly)'!$B$12:$K$371,$B40,COLUMN()-1))</f>
        <v/>
      </c>
      <c r="G40" s="17" t="str">
        <f>IF(E40="","",INDEX('Debt Payment (Monthly)'!$B$12:$K$371,$B40,COLUMN()-1))</f>
        <v/>
      </c>
      <c r="H40" s="17" t="str">
        <f>IF(F40="","",INDEX('Debt Payment (Monthly)'!$B$12:$K$371,$B40,COLUMN()-1))</f>
        <v/>
      </c>
      <c r="I40" s="17" t="str">
        <f>IF(G40="","",INDEX('Debt Payment (Monthly)'!$B$12:$K$371,$B40,COLUMN()-1))</f>
        <v/>
      </c>
      <c r="J40" s="17" t="str">
        <f>IF(H40="","",INDEX('Debt Payment (Monthly)'!$B$12:$K$371,$B40,COLUMN()-1))</f>
        <v/>
      </c>
      <c r="K40" s="18" t="str">
        <f>IF(I40="","",INDEX('Debt Payment (Monthly)'!$B$12:$K$371,$B40,COLUMN()-1))</f>
        <v/>
      </c>
      <c r="L40" s="27" t="str">
        <f t="shared" si="1"/>
        <v/>
      </c>
    </row>
    <row r="41" spans="2:12" x14ac:dyDescent="0.2">
      <c r="B41" s="15" t="str">
        <f t="shared" si="0"/>
        <v/>
      </c>
      <c r="C41" s="16" t="str">
        <f t="shared" si="2"/>
        <v/>
      </c>
      <c r="D41" s="17" t="str">
        <f>IF(B41="","",INDEX('Debt Payment (Monthly)'!$B$12:$K$371,$B41,COLUMN()-1))</f>
        <v/>
      </c>
      <c r="E41" s="17" t="str">
        <f>IF(C41="","",INDEX('Debt Payment (Monthly)'!$B$12:$K$371,$B41,COLUMN()-1))</f>
        <v/>
      </c>
      <c r="F41" s="17" t="str">
        <f>IF(D41="","",INDEX('Debt Payment (Monthly)'!$B$12:$K$371,$B41,COLUMN()-1))</f>
        <v/>
      </c>
      <c r="G41" s="17" t="str">
        <f>IF(E41="","",INDEX('Debt Payment (Monthly)'!$B$12:$K$371,$B41,COLUMN()-1))</f>
        <v/>
      </c>
      <c r="H41" s="17" t="str">
        <f>IF(F41="","",INDEX('Debt Payment (Monthly)'!$B$12:$K$371,$B41,COLUMN()-1))</f>
        <v/>
      </c>
      <c r="I41" s="17" t="str">
        <f>IF(G41="","",INDEX('Debt Payment (Monthly)'!$B$12:$K$371,$B41,COLUMN()-1))</f>
        <v/>
      </c>
      <c r="J41" s="17" t="str">
        <f>IF(H41="","",INDEX('Debt Payment (Monthly)'!$B$12:$K$371,$B41,COLUMN()-1))</f>
        <v/>
      </c>
      <c r="K41" s="18" t="str">
        <f>IF(I41="","",INDEX('Debt Payment (Monthly)'!$B$12:$K$371,$B41,COLUMN()-1))</f>
        <v/>
      </c>
      <c r="L41" s="27" t="str">
        <f t="shared" si="1"/>
        <v/>
      </c>
    </row>
    <row r="42" spans="2:12" x14ac:dyDescent="0.2">
      <c r="B42" s="19" t="str">
        <f t="shared" si="0"/>
        <v/>
      </c>
      <c r="C42" s="20" t="str">
        <f t="shared" si="2"/>
        <v/>
      </c>
      <c r="D42" s="21" t="str">
        <f>IF(B42="","",INDEX('Debt Payment (Monthly)'!$B$12:$K$371,$B42,COLUMN()-1))</f>
        <v/>
      </c>
      <c r="E42" s="21" t="str">
        <f>IF(C42="","",INDEX('Debt Payment (Monthly)'!$B$12:$K$371,$B42,COLUMN()-1))</f>
        <v/>
      </c>
      <c r="F42" s="21" t="str">
        <f>IF(D42="","",INDEX('Debt Payment (Monthly)'!$B$12:$K$371,$B42,COLUMN()-1))</f>
        <v/>
      </c>
      <c r="G42" s="21" t="str">
        <f>IF(E42="","",INDEX('Debt Payment (Monthly)'!$B$12:$K$371,$B42,COLUMN()-1))</f>
        <v/>
      </c>
      <c r="H42" s="21" t="str">
        <f>IF(F42="","",INDEX('Debt Payment (Monthly)'!$B$12:$K$371,$B42,COLUMN()-1))</f>
        <v/>
      </c>
      <c r="I42" s="21" t="str">
        <f>IF(G42="","",INDEX('Debt Payment (Monthly)'!$B$12:$K$371,$B42,COLUMN()-1))</f>
        <v/>
      </c>
      <c r="J42" s="21" t="str">
        <f>IF(H42="","",INDEX('Debt Payment (Monthly)'!$B$12:$K$371,$B42,COLUMN()-1))</f>
        <v/>
      </c>
      <c r="K42" s="22" t="str">
        <f>IF(I42="","",INDEX('Debt Payment (Monthly)'!$B$12:$K$371,$B42,COLUMN()-1))</f>
        <v/>
      </c>
      <c r="L42" s="27" t="str">
        <f t="shared" si="1"/>
        <v/>
      </c>
    </row>
    <row r="43" spans="2:12" x14ac:dyDescent="0.2">
      <c r="B43" s="28"/>
      <c r="C43" s="16"/>
      <c r="D43" s="17"/>
      <c r="E43" s="17"/>
      <c r="F43" s="17"/>
      <c r="G43" s="17"/>
      <c r="H43" s="17"/>
      <c r="I43" s="17"/>
      <c r="J43" s="17"/>
      <c r="K43" s="17"/>
      <c r="L43" s="27" t="str">
        <f t="shared" si="1"/>
        <v/>
      </c>
    </row>
    <row r="44" spans="2:12" x14ac:dyDescent="0.2">
      <c r="B44" s="28"/>
      <c r="C44" s="16"/>
      <c r="D44" s="17"/>
      <c r="E44" s="17"/>
      <c r="F44" s="17"/>
      <c r="G44" s="17"/>
      <c r="H44" s="17"/>
      <c r="I44" s="17"/>
      <c r="J44" s="17"/>
      <c r="K44" s="17"/>
      <c r="L44" s="27" t="str">
        <f t="shared" si="1"/>
        <v/>
      </c>
    </row>
    <row r="45" spans="2:12" x14ac:dyDescent="0.2">
      <c r="B45" s="28"/>
      <c r="C45" s="16"/>
      <c r="D45" s="17"/>
      <c r="E45" s="17"/>
      <c r="F45" s="17"/>
      <c r="G45" s="17"/>
      <c r="H45" s="17"/>
      <c r="I45" s="17"/>
      <c r="J45" s="17"/>
      <c r="K45" s="17"/>
      <c r="L45" s="27" t="str">
        <f t="shared" si="1"/>
        <v/>
      </c>
    </row>
    <row r="46" spans="2:12" x14ac:dyDescent="0.2">
      <c r="B46" s="28"/>
      <c r="C46" s="16"/>
      <c r="D46" s="17"/>
      <c r="E46" s="17"/>
      <c r="F46" s="17"/>
      <c r="G46" s="17"/>
      <c r="H46" s="17"/>
      <c r="I46" s="17"/>
      <c r="J46" s="17"/>
      <c r="K46" s="17"/>
      <c r="L46" s="27" t="str">
        <f t="shared" si="1"/>
        <v/>
      </c>
    </row>
    <row r="47" spans="2:12" x14ac:dyDescent="0.2">
      <c r="B47" s="28"/>
      <c r="C47" s="16"/>
      <c r="D47" s="17"/>
      <c r="E47" s="17"/>
      <c r="F47" s="17"/>
      <c r="G47" s="17"/>
      <c r="H47" s="17"/>
      <c r="I47" s="17"/>
      <c r="J47" s="17"/>
      <c r="K47" s="17"/>
      <c r="L47" s="27" t="str">
        <f t="shared" si="1"/>
        <v/>
      </c>
    </row>
    <row r="48" spans="2:12" x14ac:dyDescent="0.2">
      <c r="B48" s="28"/>
      <c r="C48" s="16"/>
      <c r="D48" s="17"/>
      <c r="E48" s="17"/>
      <c r="F48" s="17"/>
      <c r="G48" s="17"/>
      <c r="H48" s="17"/>
      <c r="I48" s="17"/>
      <c r="J48" s="17"/>
      <c r="K48" s="17"/>
      <c r="L48" s="27" t="str">
        <f t="shared" si="1"/>
        <v/>
      </c>
    </row>
    <row r="49" spans="2:12" x14ac:dyDescent="0.2">
      <c r="B49" s="28"/>
      <c r="C49" s="16"/>
      <c r="D49" s="17"/>
      <c r="E49" s="17"/>
      <c r="F49" s="17"/>
      <c r="G49" s="17"/>
      <c r="H49" s="17"/>
      <c r="I49" s="17"/>
      <c r="J49" s="17"/>
      <c r="K49" s="17"/>
      <c r="L49" s="27" t="str">
        <f t="shared" si="1"/>
        <v/>
      </c>
    </row>
    <row r="50" spans="2:12" x14ac:dyDescent="0.2">
      <c r="B50" s="28"/>
      <c r="C50" s="16"/>
      <c r="D50" s="17"/>
      <c r="E50" s="17"/>
      <c r="F50" s="17"/>
      <c r="G50" s="17"/>
      <c r="H50" s="17"/>
      <c r="I50" s="17"/>
      <c r="J50" s="17"/>
      <c r="K50" s="17"/>
      <c r="L50" s="27" t="str">
        <f t="shared" si="1"/>
        <v/>
      </c>
    </row>
    <row r="51" spans="2:12" x14ac:dyDescent="0.2">
      <c r="B51" s="28"/>
      <c r="C51" s="16"/>
      <c r="D51" s="17"/>
      <c r="E51" s="17"/>
      <c r="F51" s="17"/>
      <c r="G51" s="17"/>
      <c r="H51" s="17"/>
      <c r="I51" s="17"/>
      <c r="J51" s="17"/>
      <c r="K51" s="17"/>
      <c r="L51" s="27" t="str">
        <f t="shared" si="1"/>
        <v/>
      </c>
    </row>
    <row r="52" spans="2:12" x14ac:dyDescent="0.2">
      <c r="B52" s="28"/>
      <c r="C52" s="16"/>
      <c r="D52" s="17"/>
      <c r="E52" s="17"/>
      <c r="F52" s="17"/>
      <c r="G52" s="17"/>
      <c r="H52" s="17"/>
      <c r="I52" s="17"/>
      <c r="J52" s="17"/>
      <c r="K52" s="17"/>
      <c r="L52" s="27" t="str">
        <f t="shared" si="1"/>
        <v/>
      </c>
    </row>
    <row r="53" spans="2:12" x14ac:dyDescent="0.2">
      <c r="B53" s="28"/>
      <c r="C53" s="16"/>
      <c r="D53" s="17"/>
      <c r="E53" s="17"/>
      <c r="F53" s="17"/>
      <c r="G53" s="17"/>
      <c r="H53" s="17"/>
      <c r="I53" s="17"/>
      <c r="J53" s="17"/>
      <c r="K53" s="17"/>
      <c r="L53" s="27" t="str">
        <f t="shared" si="1"/>
        <v/>
      </c>
    </row>
    <row r="54" spans="2:12" x14ac:dyDescent="0.2">
      <c r="B54" s="28"/>
      <c r="C54" s="16"/>
      <c r="D54" s="17"/>
      <c r="E54" s="17"/>
      <c r="F54" s="17"/>
      <c r="G54" s="17"/>
      <c r="H54" s="17"/>
      <c r="I54" s="17"/>
      <c r="J54" s="17"/>
      <c r="K54" s="17"/>
      <c r="L54" s="27" t="str">
        <f t="shared" si="1"/>
        <v/>
      </c>
    </row>
    <row r="55" spans="2:12" x14ac:dyDescent="0.2">
      <c r="B55" s="28"/>
      <c r="C55" s="16"/>
      <c r="D55" s="17"/>
      <c r="E55" s="17"/>
      <c r="F55" s="17"/>
      <c r="G55" s="17"/>
      <c r="H55" s="17"/>
      <c r="I55" s="17"/>
      <c r="J55" s="17"/>
      <c r="K55" s="17"/>
      <c r="L55" s="27" t="str">
        <f t="shared" si="1"/>
        <v/>
      </c>
    </row>
    <row r="56" spans="2:12" x14ac:dyDescent="0.2">
      <c r="B56" s="28"/>
      <c r="C56" s="16"/>
      <c r="D56" s="17"/>
      <c r="E56" s="17"/>
      <c r="F56" s="17"/>
      <c r="G56" s="17"/>
      <c r="H56" s="17"/>
      <c r="I56" s="17"/>
      <c r="J56" s="17"/>
      <c r="K56" s="17"/>
      <c r="L56" s="27" t="str">
        <f t="shared" si="1"/>
        <v/>
      </c>
    </row>
    <row r="57" spans="2:12" x14ac:dyDescent="0.2">
      <c r="B57" s="28"/>
      <c r="C57" s="16"/>
      <c r="D57" s="17"/>
      <c r="E57" s="17"/>
      <c r="F57" s="17"/>
      <c r="G57" s="17"/>
      <c r="H57" s="17"/>
      <c r="I57" s="17"/>
      <c r="J57" s="17"/>
      <c r="K57" s="17"/>
      <c r="L57" s="27" t="str">
        <f t="shared" si="1"/>
        <v/>
      </c>
    </row>
    <row r="58" spans="2:12" x14ac:dyDescent="0.2">
      <c r="B58" s="28"/>
      <c r="C58" s="16"/>
      <c r="D58" s="17"/>
      <c r="E58" s="17"/>
      <c r="F58" s="17"/>
      <c r="G58" s="17"/>
      <c r="H58" s="17"/>
      <c r="I58" s="17"/>
      <c r="J58" s="17"/>
      <c r="K58" s="17"/>
      <c r="L58" s="27" t="str">
        <f t="shared" si="1"/>
        <v/>
      </c>
    </row>
    <row r="59" spans="2:12" x14ac:dyDescent="0.2">
      <c r="B59" s="28"/>
      <c r="C59" s="16"/>
      <c r="D59" s="17"/>
      <c r="E59" s="17"/>
      <c r="F59" s="17"/>
      <c r="G59" s="17"/>
      <c r="H59" s="17"/>
      <c r="I59" s="17"/>
      <c r="J59" s="17"/>
      <c r="K59" s="17"/>
      <c r="L59" s="27" t="str">
        <f t="shared" si="1"/>
        <v/>
      </c>
    </row>
    <row r="60" spans="2:12" x14ac:dyDescent="0.2">
      <c r="B60" s="28"/>
      <c r="C60" s="16"/>
      <c r="D60" s="17"/>
      <c r="E60" s="17"/>
      <c r="F60" s="17"/>
      <c r="G60" s="17"/>
      <c r="H60" s="17"/>
      <c r="I60" s="17"/>
      <c r="J60" s="17"/>
      <c r="K60" s="17"/>
      <c r="L60" s="27" t="str">
        <f t="shared" si="1"/>
        <v/>
      </c>
    </row>
    <row r="61" spans="2:12" x14ac:dyDescent="0.2">
      <c r="B61" s="28"/>
      <c r="C61" s="16"/>
      <c r="D61" s="17"/>
      <c r="E61" s="17"/>
      <c r="F61" s="17"/>
      <c r="G61" s="17"/>
      <c r="H61" s="17"/>
      <c r="I61" s="17"/>
      <c r="J61" s="17"/>
      <c r="K61" s="17"/>
      <c r="L61" s="27" t="str">
        <f t="shared" si="1"/>
        <v/>
      </c>
    </row>
    <row r="62" spans="2:12" x14ac:dyDescent="0.2">
      <c r="B62" s="28"/>
      <c r="C62" s="16"/>
      <c r="D62" s="17"/>
      <c r="E62" s="17"/>
      <c r="F62" s="17"/>
      <c r="G62" s="17"/>
      <c r="H62" s="17"/>
      <c r="I62" s="17"/>
      <c r="J62" s="17"/>
      <c r="K62" s="17"/>
      <c r="L62" s="27" t="str">
        <f t="shared" si="1"/>
        <v/>
      </c>
    </row>
    <row r="63" spans="2:12" x14ac:dyDescent="0.2">
      <c r="B63" s="28"/>
      <c r="C63" s="16"/>
      <c r="D63" s="17"/>
      <c r="E63" s="17"/>
      <c r="F63" s="17"/>
      <c r="G63" s="17"/>
      <c r="H63" s="17"/>
      <c r="I63" s="17"/>
      <c r="J63" s="17"/>
      <c r="K63" s="17"/>
      <c r="L63" s="27" t="str">
        <f t="shared" si="1"/>
        <v/>
      </c>
    </row>
    <row r="64" spans="2:12" x14ac:dyDescent="0.2">
      <c r="B64" s="28"/>
      <c r="C64" s="16"/>
      <c r="D64" s="17"/>
      <c r="E64" s="17"/>
      <c r="F64" s="17"/>
      <c r="G64" s="17"/>
      <c r="H64" s="17"/>
      <c r="I64" s="17"/>
      <c r="J64" s="17"/>
      <c r="K64" s="17"/>
      <c r="L64" s="27" t="str">
        <f t="shared" si="1"/>
        <v/>
      </c>
    </row>
    <row r="65" spans="2:12" x14ac:dyDescent="0.2">
      <c r="B65" s="28"/>
      <c r="C65" s="16"/>
      <c r="D65" s="17"/>
      <c r="E65" s="17"/>
      <c r="F65" s="17"/>
      <c r="G65" s="17"/>
      <c r="H65" s="17"/>
      <c r="I65" s="17"/>
      <c r="J65" s="17"/>
      <c r="K65" s="17"/>
      <c r="L65" s="27" t="str">
        <f t="shared" si="1"/>
        <v/>
      </c>
    </row>
    <row r="66" spans="2:12" x14ac:dyDescent="0.2">
      <c r="B66" s="28"/>
      <c r="C66" s="16"/>
      <c r="D66" s="17"/>
      <c r="E66" s="17"/>
      <c r="F66" s="17"/>
      <c r="G66" s="17"/>
      <c r="H66" s="17"/>
      <c r="I66" s="17"/>
      <c r="J66" s="17"/>
      <c r="K66" s="17"/>
      <c r="L66" s="27" t="str">
        <f t="shared" si="1"/>
        <v/>
      </c>
    </row>
    <row r="67" spans="2:12" x14ac:dyDescent="0.2">
      <c r="B67" s="28"/>
      <c r="C67" s="16"/>
      <c r="D67" s="17"/>
      <c r="E67" s="17"/>
      <c r="F67" s="17"/>
      <c r="G67" s="17"/>
      <c r="H67" s="17"/>
      <c r="I67" s="17"/>
      <c r="J67" s="17"/>
      <c r="K67" s="17"/>
      <c r="L67" s="27" t="str">
        <f t="shared" si="1"/>
        <v/>
      </c>
    </row>
    <row r="68" spans="2:12" x14ac:dyDescent="0.2">
      <c r="B68" s="28"/>
      <c r="C68" s="16"/>
      <c r="D68" s="17"/>
      <c r="E68" s="17"/>
      <c r="F68" s="17"/>
      <c r="G68" s="17"/>
      <c r="H68" s="17"/>
      <c r="I68" s="17"/>
      <c r="J68" s="17"/>
      <c r="K68" s="17"/>
      <c r="L68" s="27" t="str">
        <f t="shared" si="1"/>
        <v/>
      </c>
    </row>
    <row r="69" spans="2:12" x14ac:dyDescent="0.2">
      <c r="B69" s="28"/>
      <c r="C69" s="16"/>
      <c r="D69" s="17"/>
      <c r="E69" s="17"/>
      <c r="F69" s="17"/>
      <c r="G69" s="17"/>
      <c r="H69" s="17"/>
      <c r="I69" s="17"/>
      <c r="J69" s="17"/>
      <c r="K69" s="17"/>
      <c r="L69" s="27" t="str">
        <f t="shared" si="1"/>
        <v/>
      </c>
    </row>
    <row r="70" spans="2:12" x14ac:dyDescent="0.2">
      <c r="B70" s="28"/>
      <c r="C70" s="16"/>
      <c r="D70" s="17"/>
      <c r="E70" s="17"/>
      <c r="F70" s="17"/>
      <c r="G70" s="17"/>
      <c r="H70" s="17"/>
      <c r="I70" s="17"/>
      <c r="J70" s="17"/>
      <c r="K70" s="17"/>
      <c r="L70" s="27" t="str">
        <f t="shared" si="1"/>
        <v/>
      </c>
    </row>
    <row r="71" spans="2:12" x14ac:dyDescent="0.2">
      <c r="B71" s="28"/>
      <c r="C71" s="16"/>
      <c r="D71" s="17"/>
      <c r="E71" s="17"/>
      <c r="F71" s="17"/>
      <c r="G71" s="17"/>
      <c r="H71" s="17"/>
      <c r="I71" s="17"/>
      <c r="J71" s="17"/>
      <c r="K71" s="17"/>
      <c r="L71" s="27" t="str">
        <f t="shared" si="1"/>
        <v/>
      </c>
    </row>
    <row r="72" spans="2:12" x14ac:dyDescent="0.2">
      <c r="B72" s="28"/>
      <c r="C72" s="16"/>
      <c r="D72" s="17"/>
      <c r="E72" s="17"/>
      <c r="F72" s="17"/>
      <c r="G72" s="17"/>
      <c r="H72" s="17"/>
      <c r="I72" s="17"/>
      <c r="J72" s="17"/>
      <c r="K72" s="17"/>
      <c r="L72" s="27" t="str">
        <f t="shared" si="1"/>
        <v/>
      </c>
    </row>
    <row r="73" spans="2:12" x14ac:dyDescent="0.2">
      <c r="B73" s="28"/>
      <c r="C73" s="16"/>
      <c r="D73" s="17"/>
      <c r="E73" s="17"/>
      <c r="F73" s="17"/>
      <c r="G73" s="17"/>
      <c r="H73" s="17"/>
      <c r="I73" s="17"/>
      <c r="J73" s="17"/>
      <c r="K73" s="17"/>
      <c r="L73" s="27" t="str">
        <f t="shared" si="1"/>
        <v/>
      </c>
    </row>
    <row r="74" spans="2:12" x14ac:dyDescent="0.2">
      <c r="B74" s="28"/>
      <c r="C74" s="16"/>
      <c r="D74" s="17"/>
      <c r="E74" s="17"/>
      <c r="F74" s="17"/>
      <c r="G74" s="17"/>
      <c r="H74" s="17"/>
      <c r="I74" s="17"/>
      <c r="J74" s="17"/>
      <c r="K74" s="17"/>
      <c r="L74" s="27" t="str">
        <f t="shared" si="1"/>
        <v/>
      </c>
    </row>
    <row r="75" spans="2:12" x14ac:dyDescent="0.2">
      <c r="B75" s="28"/>
      <c r="C75" s="16"/>
      <c r="D75" s="17"/>
      <c r="E75" s="17"/>
      <c r="F75" s="17"/>
      <c r="G75" s="17"/>
      <c r="H75" s="17"/>
      <c r="I75" s="17"/>
      <c r="J75" s="17"/>
      <c r="K75" s="17"/>
      <c r="L75" s="27" t="str">
        <f t="shared" si="1"/>
        <v/>
      </c>
    </row>
    <row r="76" spans="2:12" x14ac:dyDescent="0.2">
      <c r="B76" s="28"/>
      <c r="C76" s="16"/>
      <c r="D76" s="17"/>
      <c r="E76" s="17"/>
      <c r="F76" s="17"/>
      <c r="G76" s="17"/>
      <c r="H76" s="17"/>
      <c r="I76" s="17"/>
      <c r="J76" s="17"/>
      <c r="K76" s="17"/>
      <c r="L76" s="27" t="str">
        <f t="shared" si="1"/>
        <v/>
      </c>
    </row>
    <row r="77" spans="2:12" x14ac:dyDescent="0.2">
      <c r="B77" s="28"/>
      <c r="C77" s="16"/>
      <c r="D77" s="17"/>
      <c r="E77" s="17"/>
      <c r="F77" s="17"/>
      <c r="G77" s="17"/>
      <c r="H77" s="17"/>
      <c r="I77" s="17"/>
      <c r="J77" s="17"/>
      <c r="K77" s="17"/>
      <c r="L77" s="27" t="str">
        <f t="shared" ref="L77:L140" si="3">IF(B77=$K$9*12,J77/$D$9,"")</f>
        <v/>
      </c>
    </row>
    <row r="78" spans="2:12" x14ac:dyDescent="0.2">
      <c r="B78" s="28"/>
      <c r="C78" s="16"/>
      <c r="D78" s="17"/>
      <c r="E78" s="17"/>
      <c r="F78" s="17"/>
      <c r="G78" s="17"/>
      <c r="H78" s="17"/>
      <c r="I78" s="17"/>
      <c r="J78" s="17"/>
      <c r="K78" s="17"/>
      <c r="L78" s="27" t="str">
        <f t="shared" si="3"/>
        <v/>
      </c>
    </row>
    <row r="79" spans="2:12" x14ac:dyDescent="0.2">
      <c r="B79" s="28"/>
      <c r="C79" s="16"/>
      <c r="D79" s="17"/>
      <c r="E79" s="17"/>
      <c r="F79" s="17"/>
      <c r="G79" s="17"/>
      <c r="H79" s="17"/>
      <c r="I79" s="17"/>
      <c r="J79" s="17"/>
      <c r="K79" s="17"/>
      <c r="L79" s="27" t="str">
        <f t="shared" si="3"/>
        <v/>
      </c>
    </row>
    <row r="80" spans="2:12" x14ac:dyDescent="0.2">
      <c r="B80" s="28"/>
      <c r="C80" s="16"/>
      <c r="D80" s="17"/>
      <c r="E80" s="17"/>
      <c r="F80" s="17"/>
      <c r="G80" s="17"/>
      <c r="H80" s="17"/>
      <c r="I80" s="17"/>
      <c r="J80" s="17"/>
      <c r="K80" s="17"/>
      <c r="L80" s="27" t="str">
        <f t="shared" si="3"/>
        <v/>
      </c>
    </row>
    <row r="81" spans="2:12" x14ac:dyDescent="0.2">
      <c r="B81" s="28"/>
      <c r="C81" s="16"/>
      <c r="D81" s="17"/>
      <c r="E81" s="17"/>
      <c r="F81" s="17"/>
      <c r="G81" s="17"/>
      <c r="H81" s="17"/>
      <c r="I81" s="17"/>
      <c r="J81" s="17"/>
      <c r="K81" s="17"/>
      <c r="L81" s="27" t="str">
        <f t="shared" si="3"/>
        <v/>
      </c>
    </row>
    <row r="82" spans="2:12" x14ac:dyDescent="0.2">
      <c r="B82" s="28"/>
      <c r="C82" s="16"/>
      <c r="D82" s="17"/>
      <c r="E82" s="17"/>
      <c r="F82" s="17"/>
      <c r="G82" s="17"/>
      <c r="H82" s="17"/>
      <c r="I82" s="17"/>
      <c r="J82" s="17"/>
      <c r="K82" s="17"/>
      <c r="L82" s="27" t="str">
        <f t="shared" si="3"/>
        <v/>
      </c>
    </row>
    <row r="83" spans="2:12" x14ac:dyDescent="0.2">
      <c r="B83" s="28"/>
      <c r="C83" s="16"/>
      <c r="D83" s="17"/>
      <c r="E83" s="17"/>
      <c r="F83" s="17"/>
      <c r="G83" s="17"/>
      <c r="H83" s="17"/>
      <c r="I83" s="17"/>
      <c r="J83" s="17"/>
      <c r="K83" s="17"/>
      <c r="L83" s="27" t="str">
        <f t="shared" si="3"/>
        <v/>
      </c>
    </row>
    <row r="84" spans="2:12" x14ac:dyDescent="0.2">
      <c r="B84" s="28"/>
      <c r="C84" s="16"/>
      <c r="D84" s="17"/>
      <c r="E84" s="17"/>
      <c r="F84" s="17"/>
      <c r="G84" s="17"/>
      <c r="H84" s="17"/>
      <c r="I84" s="17"/>
      <c r="J84" s="17"/>
      <c r="K84" s="17"/>
      <c r="L84" s="27" t="str">
        <f t="shared" si="3"/>
        <v/>
      </c>
    </row>
    <row r="85" spans="2:12" x14ac:dyDescent="0.2">
      <c r="B85" s="28"/>
      <c r="C85" s="16"/>
      <c r="D85" s="17"/>
      <c r="E85" s="17"/>
      <c r="F85" s="17"/>
      <c r="G85" s="17"/>
      <c r="H85" s="17"/>
      <c r="I85" s="17"/>
      <c r="J85" s="17"/>
      <c r="K85" s="17"/>
      <c r="L85" s="27" t="str">
        <f t="shared" si="3"/>
        <v/>
      </c>
    </row>
    <row r="86" spans="2:12" x14ac:dyDescent="0.2">
      <c r="B86" s="28"/>
      <c r="C86" s="16"/>
      <c r="D86" s="17"/>
      <c r="E86" s="17"/>
      <c r="F86" s="17"/>
      <c r="G86" s="17"/>
      <c r="H86" s="17"/>
      <c r="I86" s="17"/>
      <c r="J86" s="17"/>
      <c r="K86" s="17"/>
      <c r="L86" s="27" t="str">
        <f t="shared" si="3"/>
        <v/>
      </c>
    </row>
    <row r="87" spans="2:12" x14ac:dyDescent="0.2">
      <c r="B87" s="28"/>
      <c r="C87" s="16"/>
      <c r="D87" s="17"/>
      <c r="E87" s="17"/>
      <c r="F87" s="17"/>
      <c r="G87" s="17"/>
      <c r="H87" s="17"/>
      <c r="I87" s="17"/>
      <c r="J87" s="17"/>
      <c r="K87" s="17"/>
      <c r="L87" s="27" t="str">
        <f t="shared" si="3"/>
        <v/>
      </c>
    </row>
    <row r="88" spans="2:12" x14ac:dyDescent="0.2">
      <c r="B88" s="28"/>
      <c r="C88" s="16"/>
      <c r="D88" s="17"/>
      <c r="E88" s="17"/>
      <c r="F88" s="17"/>
      <c r="G88" s="17"/>
      <c r="H88" s="17"/>
      <c r="I88" s="17"/>
      <c r="J88" s="17"/>
      <c r="K88" s="17"/>
      <c r="L88" s="27" t="str">
        <f t="shared" si="3"/>
        <v/>
      </c>
    </row>
    <row r="89" spans="2:12" x14ac:dyDescent="0.2">
      <c r="B89" s="28"/>
      <c r="C89" s="16"/>
      <c r="D89" s="17"/>
      <c r="E89" s="17"/>
      <c r="F89" s="17"/>
      <c r="G89" s="17"/>
      <c r="H89" s="17"/>
      <c r="I89" s="17"/>
      <c r="J89" s="17"/>
      <c r="K89" s="17"/>
      <c r="L89" s="27" t="str">
        <f t="shared" si="3"/>
        <v/>
      </c>
    </row>
    <row r="90" spans="2:12" x14ac:dyDescent="0.2">
      <c r="B90" s="28"/>
      <c r="C90" s="16"/>
      <c r="D90" s="17"/>
      <c r="E90" s="17"/>
      <c r="F90" s="17"/>
      <c r="G90" s="17"/>
      <c r="H90" s="17"/>
      <c r="I90" s="17"/>
      <c r="J90" s="17"/>
      <c r="K90" s="17"/>
      <c r="L90" s="27" t="str">
        <f t="shared" si="3"/>
        <v/>
      </c>
    </row>
    <row r="91" spans="2:12" x14ac:dyDescent="0.2">
      <c r="B91" s="28"/>
      <c r="C91" s="16"/>
      <c r="D91" s="17"/>
      <c r="E91" s="17"/>
      <c r="F91" s="17"/>
      <c r="G91" s="17"/>
      <c r="H91" s="17"/>
      <c r="I91" s="17"/>
      <c r="J91" s="17"/>
      <c r="K91" s="17"/>
      <c r="L91" s="27" t="str">
        <f t="shared" si="3"/>
        <v/>
      </c>
    </row>
    <row r="92" spans="2:12" x14ac:dyDescent="0.2">
      <c r="B92" s="28"/>
      <c r="C92" s="16"/>
      <c r="D92" s="17"/>
      <c r="E92" s="17"/>
      <c r="F92" s="17"/>
      <c r="G92" s="17"/>
      <c r="H92" s="17"/>
      <c r="I92" s="17"/>
      <c r="J92" s="17"/>
      <c r="K92" s="17"/>
      <c r="L92" s="27" t="str">
        <f t="shared" si="3"/>
        <v/>
      </c>
    </row>
    <row r="93" spans="2:12" x14ac:dyDescent="0.2">
      <c r="B93" s="28"/>
      <c r="C93" s="16"/>
      <c r="D93" s="17"/>
      <c r="E93" s="17"/>
      <c r="F93" s="17"/>
      <c r="G93" s="17"/>
      <c r="H93" s="17"/>
      <c r="I93" s="17"/>
      <c r="J93" s="17"/>
      <c r="K93" s="17"/>
      <c r="L93" s="27" t="str">
        <f t="shared" si="3"/>
        <v/>
      </c>
    </row>
    <row r="94" spans="2:12" x14ac:dyDescent="0.2">
      <c r="B94" s="28"/>
      <c r="C94" s="16"/>
      <c r="D94" s="17"/>
      <c r="E94" s="17"/>
      <c r="F94" s="17"/>
      <c r="G94" s="17"/>
      <c r="H94" s="17"/>
      <c r="I94" s="17"/>
      <c r="J94" s="17"/>
      <c r="K94" s="17"/>
      <c r="L94" s="27" t="str">
        <f t="shared" si="3"/>
        <v/>
      </c>
    </row>
    <row r="95" spans="2:12" x14ac:dyDescent="0.2">
      <c r="B95" s="28"/>
      <c r="C95" s="16"/>
      <c r="D95" s="17"/>
      <c r="E95" s="17"/>
      <c r="F95" s="17"/>
      <c r="G95" s="17"/>
      <c r="H95" s="17"/>
      <c r="I95" s="17"/>
      <c r="J95" s="17"/>
      <c r="K95" s="17"/>
      <c r="L95" s="27" t="str">
        <f t="shared" si="3"/>
        <v/>
      </c>
    </row>
    <row r="96" spans="2:12" x14ac:dyDescent="0.2">
      <c r="B96" s="28"/>
      <c r="C96" s="16"/>
      <c r="D96" s="17"/>
      <c r="E96" s="17"/>
      <c r="F96" s="17"/>
      <c r="G96" s="17"/>
      <c r="H96" s="17"/>
      <c r="I96" s="17"/>
      <c r="J96" s="17"/>
      <c r="K96" s="17"/>
      <c r="L96" s="27" t="str">
        <f t="shared" si="3"/>
        <v/>
      </c>
    </row>
    <row r="97" spans="2:12" x14ac:dyDescent="0.2">
      <c r="B97" s="28"/>
      <c r="C97" s="16"/>
      <c r="D97" s="17"/>
      <c r="E97" s="17"/>
      <c r="F97" s="17"/>
      <c r="G97" s="17"/>
      <c r="H97" s="17"/>
      <c r="I97" s="17"/>
      <c r="J97" s="17"/>
      <c r="K97" s="17"/>
      <c r="L97" s="27" t="str">
        <f t="shared" si="3"/>
        <v/>
      </c>
    </row>
    <row r="98" spans="2:12" x14ac:dyDescent="0.2">
      <c r="B98" s="28"/>
      <c r="C98" s="16"/>
      <c r="D98" s="17"/>
      <c r="E98" s="17"/>
      <c r="F98" s="17"/>
      <c r="G98" s="17"/>
      <c r="H98" s="17"/>
      <c r="I98" s="17"/>
      <c r="J98" s="17"/>
      <c r="K98" s="17"/>
      <c r="L98" s="27" t="str">
        <f t="shared" si="3"/>
        <v/>
      </c>
    </row>
    <row r="99" spans="2:12" x14ac:dyDescent="0.2">
      <c r="B99" s="28"/>
      <c r="C99" s="16"/>
      <c r="D99" s="17"/>
      <c r="E99" s="17"/>
      <c r="F99" s="17"/>
      <c r="G99" s="17"/>
      <c r="H99" s="17"/>
      <c r="I99" s="17"/>
      <c r="J99" s="17"/>
      <c r="K99" s="17"/>
      <c r="L99" s="27" t="str">
        <f t="shared" si="3"/>
        <v/>
      </c>
    </row>
    <row r="100" spans="2:12" x14ac:dyDescent="0.2">
      <c r="B100" s="28"/>
      <c r="C100" s="16"/>
      <c r="D100" s="17"/>
      <c r="E100" s="17"/>
      <c r="F100" s="17"/>
      <c r="G100" s="17"/>
      <c r="H100" s="17"/>
      <c r="I100" s="17"/>
      <c r="J100" s="17"/>
      <c r="K100" s="17"/>
      <c r="L100" s="27" t="str">
        <f t="shared" si="3"/>
        <v/>
      </c>
    </row>
    <row r="101" spans="2:12" x14ac:dyDescent="0.2">
      <c r="B101" s="28"/>
      <c r="C101" s="16"/>
      <c r="D101" s="17"/>
      <c r="E101" s="17"/>
      <c r="F101" s="17"/>
      <c r="G101" s="17"/>
      <c r="H101" s="17"/>
      <c r="I101" s="17"/>
      <c r="J101" s="17"/>
      <c r="K101" s="17"/>
      <c r="L101" s="27" t="str">
        <f t="shared" si="3"/>
        <v/>
      </c>
    </row>
    <row r="102" spans="2:12" x14ac:dyDescent="0.2">
      <c r="B102" s="28"/>
      <c r="C102" s="16"/>
      <c r="D102" s="17"/>
      <c r="E102" s="17"/>
      <c r="F102" s="17"/>
      <c r="G102" s="17"/>
      <c r="H102" s="17"/>
      <c r="I102" s="17"/>
      <c r="J102" s="17"/>
      <c r="K102" s="17"/>
      <c r="L102" s="27" t="str">
        <f t="shared" si="3"/>
        <v/>
      </c>
    </row>
    <row r="103" spans="2:12" x14ac:dyDescent="0.2">
      <c r="B103" s="28"/>
      <c r="C103" s="16"/>
      <c r="D103" s="17"/>
      <c r="E103" s="17"/>
      <c r="F103" s="17"/>
      <c r="G103" s="17"/>
      <c r="H103" s="17"/>
      <c r="I103" s="17"/>
      <c r="J103" s="17"/>
      <c r="K103" s="17"/>
      <c r="L103" s="27" t="str">
        <f t="shared" si="3"/>
        <v/>
      </c>
    </row>
    <row r="104" spans="2:12" x14ac:dyDescent="0.2">
      <c r="B104" s="28"/>
      <c r="C104" s="16"/>
      <c r="D104" s="17"/>
      <c r="E104" s="17"/>
      <c r="F104" s="17"/>
      <c r="G104" s="17"/>
      <c r="H104" s="17"/>
      <c r="I104" s="17"/>
      <c r="J104" s="17"/>
      <c r="K104" s="17"/>
      <c r="L104" s="27" t="str">
        <f t="shared" si="3"/>
        <v/>
      </c>
    </row>
    <row r="105" spans="2:12" x14ac:dyDescent="0.2">
      <c r="B105" s="28"/>
      <c r="C105" s="16"/>
      <c r="D105" s="17"/>
      <c r="E105" s="17"/>
      <c r="F105" s="17"/>
      <c r="G105" s="17"/>
      <c r="H105" s="17"/>
      <c r="I105" s="17"/>
      <c r="J105" s="17"/>
      <c r="K105" s="17"/>
      <c r="L105" s="27" t="str">
        <f t="shared" si="3"/>
        <v/>
      </c>
    </row>
    <row r="106" spans="2:12" x14ac:dyDescent="0.2">
      <c r="B106" s="28"/>
      <c r="C106" s="16"/>
      <c r="D106" s="17"/>
      <c r="E106" s="17"/>
      <c r="F106" s="17"/>
      <c r="G106" s="17"/>
      <c r="H106" s="17"/>
      <c r="I106" s="17"/>
      <c r="J106" s="17"/>
      <c r="K106" s="17"/>
      <c r="L106" s="27" t="str">
        <f t="shared" si="3"/>
        <v/>
      </c>
    </row>
    <row r="107" spans="2:12" x14ac:dyDescent="0.2">
      <c r="B107" s="28"/>
      <c r="C107" s="16"/>
      <c r="D107" s="17"/>
      <c r="E107" s="17"/>
      <c r="F107" s="17"/>
      <c r="G107" s="17"/>
      <c r="H107" s="17"/>
      <c r="I107" s="17"/>
      <c r="J107" s="17"/>
      <c r="K107" s="17"/>
      <c r="L107" s="27" t="str">
        <f t="shared" si="3"/>
        <v/>
      </c>
    </row>
    <row r="108" spans="2:12" x14ac:dyDescent="0.2">
      <c r="B108" s="28"/>
      <c r="C108" s="16"/>
      <c r="D108" s="17"/>
      <c r="E108" s="17"/>
      <c r="F108" s="17"/>
      <c r="G108" s="17"/>
      <c r="H108" s="17"/>
      <c r="I108" s="17"/>
      <c r="J108" s="17"/>
      <c r="K108" s="17"/>
      <c r="L108" s="27" t="str">
        <f t="shared" si="3"/>
        <v/>
      </c>
    </row>
    <row r="109" spans="2:12" x14ac:dyDescent="0.2">
      <c r="B109" s="28"/>
      <c r="C109" s="16"/>
      <c r="D109" s="17"/>
      <c r="E109" s="17"/>
      <c r="F109" s="17"/>
      <c r="G109" s="17"/>
      <c r="H109" s="17"/>
      <c r="I109" s="17"/>
      <c r="J109" s="17"/>
      <c r="K109" s="17"/>
      <c r="L109" s="27" t="str">
        <f t="shared" si="3"/>
        <v/>
      </c>
    </row>
    <row r="110" spans="2:12" x14ac:dyDescent="0.2">
      <c r="B110" s="28"/>
      <c r="C110" s="16"/>
      <c r="D110" s="17"/>
      <c r="E110" s="17"/>
      <c r="F110" s="17"/>
      <c r="G110" s="17"/>
      <c r="H110" s="17"/>
      <c r="I110" s="17"/>
      <c r="J110" s="17"/>
      <c r="K110" s="17"/>
      <c r="L110" s="27" t="str">
        <f t="shared" si="3"/>
        <v/>
      </c>
    </row>
    <row r="111" spans="2:12" x14ac:dyDescent="0.2">
      <c r="B111" s="28"/>
      <c r="C111" s="16"/>
      <c r="D111" s="17"/>
      <c r="E111" s="17"/>
      <c r="F111" s="17"/>
      <c r="G111" s="17"/>
      <c r="H111" s="17"/>
      <c r="I111" s="17"/>
      <c r="J111" s="17"/>
      <c r="K111" s="17"/>
      <c r="L111" s="27" t="str">
        <f t="shared" si="3"/>
        <v/>
      </c>
    </row>
    <row r="112" spans="2:12" x14ac:dyDescent="0.2">
      <c r="B112" s="28"/>
      <c r="C112" s="16"/>
      <c r="D112" s="17"/>
      <c r="E112" s="17"/>
      <c r="F112" s="17"/>
      <c r="G112" s="17"/>
      <c r="H112" s="17"/>
      <c r="I112" s="17"/>
      <c r="J112" s="17"/>
      <c r="K112" s="17"/>
      <c r="L112" s="27" t="str">
        <f t="shared" si="3"/>
        <v/>
      </c>
    </row>
    <row r="113" spans="2:12" x14ac:dyDescent="0.2">
      <c r="B113" s="28"/>
      <c r="C113" s="16"/>
      <c r="D113" s="17"/>
      <c r="E113" s="17"/>
      <c r="F113" s="17"/>
      <c r="G113" s="17"/>
      <c r="H113" s="17"/>
      <c r="I113" s="17"/>
      <c r="J113" s="17"/>
      <c r="K113" s="17"/>
      <c r="L113" s="27" t="str">
        <f t="shared" si="3"/>
        <v/>
      </c>
    </row>
    <row r="114" spans="2:12" x14ac:dyDescent="0.2">
      <c r="B114" s="28"/>
      <c r="C114" s="16"/>
      <c r="D114" s="17"/>
      <c r="E114" s="17"/>
      <c r="F114" s="17"/>
      <c r="G114" s="17"/>
      <c r="H114" s="17"/>
      <c r="I114" s="17"/>
      <c r="J114" s="17"/>
      <c r="K114" s="17"/>
      <c r="L114" s="27" t="str">
        <f t="shared" si="3"/>
        <v/>
      </c>
    </row>
    <row r="115" spans="2:12" x14ac:dyDescent="0.2">
      <c r="B115" s="28"/>
      <c r="C115" s="16"/>
      <c r="D115" s="17"/>
      <c r="E115" s="17"/>
      <c r="F115" s="17"/>
      <c r="G115" s="17"/>
      <c r="H115" s="17"/>
      <c r="I115" s="17"/>
      <c r="J115" s="17"/>
      <c r="K115" s="17"/>
      <c r="L115" s="27" t="str">
        <f t="shared" si="3"/>
        <v/>
      </c>
    </row>
    <row r="116" spans="2:12" x14ac:dyDescent="0.2">
      <c r="B116" s="28"/>
      <c r="C116" s="16"/>
      <c r="D116" s="17"/>
      <c r="E116" s="17"/>
      <c r="F116" s="17"/>
      <c r="G116" s="17"/>
      <c r="H116" s="17"/>
      <c r="I116" s="17"/>
      <c r="J116" s="17"/>
      <c r="K116" s="17"/>
      <c r="L116" s="27" t="str">
        <f t="shared" si="3"/>
        <v/>
      </c>
    </row>
    <row r="117" spans="2:12" x14ac:dyDescent="0.2">
      <c r="B117" s="28"/>
      <c r="C117" s="16"/>
      <c r="D117" s="17"/>
      <c r="E117" s="17"/>
      <c r="F117" s="17"/>
      <c r="G117" s="17"/>
      <c r="H117" s="17"/>
      <c r="I117" s="17"/>
      <c r="J117" s="17"/>
      <c r="K117" s="17"/>
      <c r="L117" s="27" t="str">
        <f t="shared" si="3"/>
        <v/>
      </c>
    </row>
    <row r="118" spans="2:12" x14ac:dyDescent="0.2">
      <c r="B118" s="28"/>
      <c r="C118" s="16"/>
      <c r="D118" s="17"/>
      <c r="E118" s="17"/>
      <c r="F118" s="17"/>
      <c r="G118" s="17"/>
      <c r="H118" s="17"/>
      <c r="I118" s="17"/>
      <c r="J118" s="17"/>
      <c r="K118" s="17"/>
      <c r="L118" s="27" t="str">
        <f t="shared" si="3"/>
        <v/>
      </c>
    </row>
    <row r="119" spans="2:12" x14ac:dyDescent="0.2">
      <c r="B119" s="28"/>
      <c r="C119" s="16"/>
      <c r="D119" s="17"/>
      <c r="E119" s="17"/>
      <c r="F119" s="17"/>
      <c r="G119" s="17"/>
      <c r="H119" s="17"/>
      <c r="I119" s="17"/>
      <c r="J119" s="17"/>
      <c r="K119" s="17"/>
      <c r="L119" s="27" t="str">
        <f t="shared" si="3"/>
        <v/>
      </c>
    </row>
    <row r="120" spans="2:12" x14ac:dyDescent="0.2">
      <c r="B120" s="28"/>
      <c r="C120" s="16"/>
      <c r="D120" s="17"/>
      <c r="E120" s="17"/>
      <c r="F120" s="17"/>
      <c r="G120" s="17"/>
      <c r="H120" s="17"/>
      <c r="I120" s="17"/>
      <c r="J120" s="17"/>
      <c r="K120" s="17"/>
      <c r="L120" s="27" t="str">
        <f t="shared" si="3"/>
        <v/>
      </c>
    </row>
    <row r="121" spans="2:12" x14ac:dyDescent="0.2">
      <c r="B121" s="28"/>
      <c r="C121" s="16"/>
      <c r="D121" s="17"/>
      <c r="E121" s="17"/>
      <c r="F121" s="17"/>
      <c r="G121" s="17"/>
      <c r="H121" s="17"/>
      <c r="I121" s="17"/>
      <c r="J121" s="17"/>
      <c r="K121" s="17"/>
      <c r="L121" s="27" t="str">
        <f t="shared" si="3"/>
        <v/>
      </c>
    </row>
    <row r="122" spans="2:12" x14ac:dyDescent="0.2">
      <c r="B122" s="28"/>
      <c r="C122" s="16"/>
      <c r="D122" s="17"/>
      <c r="E122" s="17"/>
      <c r="F122" s="17"/>
      <c r="G122" s="17"/>
      <c r="H122" s="17"/>
      <c r="I122" s="17"/>
      <c r="J122" s="17"/>
      <c r="K122" s="17"/>
      <c r="L122" s="27" t="str">
        <f t="shared" si="3"/>
        <v/>
      </c>
    </row>
    <row r="123" spans="2:12" x14ac:dyDescent="0.2">
      <c r="B123" s="28"/>
      <c r="C123" s="16"/>
      <c r="D123" s="17"/>
      <c r="E123" s="17"/>
      <c r="F123" s="17"/>
      <c r="G123" s="17"/>
      <c r="H123" s="17"/>
      <c r="I123" s="17"/>
      <c r="J123" s="17"/>
      <c r="K123" s="17"/>
      <c r="L123" s="27" t="str">
        <f t="shared" si="3"/>
        <v/>
      </c>
    </row>
    <row r="124" spans="2:12" x14ac:dyDescent="0.2">
      <c r="B124" s="28"/>
      <c r="C124" s="16"/>
      <c r="D124" s="17"/>
      <c r="E124" s="17"/>
      <c r="F124" s="17"/>
      <c r="G124" s="17"/>
      <c r="H124" s="17"/>
      <c r="I124" s="17"/>
      <c r="J124" s="17"/>
      <c r="K124" s="17"/>
      <c r="L124" s="27" t="str">
        <f t="shared" si="3"/>
        <v/>
      </c>
    </row>
    <row r="125" spans="2:12" x14ac:dyDescent="0.2">
      <c r="B125" s="28"/>
      <c r="C125" s="16"/>
      <c r="D125" s="17"/>
      <c r="E125" s="17"/>
      <c r="F125" s="17"/>
      <c r="G125" s="17"/>
      <c r="H125" s="17"/>
      <c r="I125" s="17"/>
      <c r="J125" s="17"/>
      <c r="K125" s="17"/>
      <c r="L125" s="27" t="str">
        <f t="shared" si="3"/>
        <v/>
      </c>
    </row>
    <row r="126" spans="2:12" x14ac:dyDescent="0.2">
      <c r="B126" s="28"/>
      <c r="C126" s="16"/>
      <c r="D126" s="17"/>
      <c r="E126" s="17"/>
      <c r="F126" s="17"/>
      <c r="G126" s="17"/>
      <c r="H126" s="17"/>
      <c r="I126" s="17"/>
      <c r="J126" s="17"/>
      <c r="K126" s="17"/>
      <c r="L126" s="27" t="str">
        <f t="shared" si="3"/>
        <v/>
      </c>
    </row>
    <row r="127" spans="2:12" x14ac:dyDescent="0.2">
      <c r="B127" s="28"/>
      <c r="C127" s="16"/>
      <c r="D127" s="17"/>
      <c r="E127" s="17"/>
      <c r="F127" s="17"/>
      <c r="G127" s="17"/>
      <c r="H127" s="17"/>
      <c r="I127" s="17"/>
      <c r="J127" s="17"/>
      <c r="K127" s="17"/>
      <c r="L127" s="27" t="str">
        <f t="shared" si="3"/>
        <v/>
      </c>
    </row>
    <row r="128" spans="2:12" x14ac:dyDescent="0.2">
      <c r="B128" s="28"/>
      <c r="C128" s="16"/>
      <c r="D128" s="17"/>
      <c r="E128" s="17"/>
      <c r="F128" s="17"/>
      <c r="G128" s="17"/>
      <c r="H128" s="17"/>
      <c r="I128" s="17"/>
      <c r="J128" s="17"/>
      <c r="K128" s="17"/>
      <c r="L128" s="27" t="str">
        <f t="shared" si="3"/>
        <v/>
      </c>
    </row>
    <row r="129" spans="2:12" x14ac:dyDescent="0.2">
      <c r="B129" s="28"/>
      <c r="C129" s="16"/>
      <c r="D129" s="17"/>
      <c r="E129" s="17"/>
      <c r="F129" s="17"/>
      <c r="G129" s="17"/>
      <c r="H129" s="17"/>
      <c r="I129" s="17"/>
      <c r="J129" s="17"/>
      <c r="K129" s="17"/>
      <c r="L129" s="27" t="str">
        <f t="shared" si="3"/>
        <v/>
      </c>
    </row>
    <row r="130" spans="2:12" x14ac:dyDescent="0.2">
      <c r="B130" s="28"/>
      <c r="C130" s="16"/>
      <c r="D130" s="17"/>
      <c r="E130" s="17"/>
      <c r="F130" s="17"/>
      <c r="G130" s="17"/>
      <c r="H130" s="17"/>
      <c r="I130" s="17"/>
      <c r="J130" s="17"/>
      <c r="K130" s="17"/>
      <c r="L130" s="27" t="str">
        <f t="shared" si="3"/>
        <v/>
      </c>
    </row>
    <row r="131" spans="2:12" x14ac:dyDescent="0.2">
      <c r="B131" s="28"/>
      <c r="C131" s="16"/>
      <c r="D131" s="17"/>
      <c r="E131" s="17"/>
      <c r="F131" s="17"/>
      <c r="G131" s="17"/>
      <c r="H131" s="17"/>
      <c r="I131" s="17"/>
      <c r="J131" s="17"/>
      <c r="K131" s="17"/>
      <c r="L131" s="27" t="str">
        <f t="shared" si="3"/>
        <v/>
      </c>
    </row>
    <row r="132" spans="2:12" x14ac:dyDescent="0.2">
      <c r="B132" s="28"/>
      <c r="C132" s="16"/>
      <c r="D132" s="17"/>
      <c r="E132" s="17"/>
      <c r="F132" s="17"/>
      <c r="G132" s="17"/>
      <c r="H132" s="17"/>
      <c r="I132" s="17"/>
      <c r="J132" s="17"/>
      <c r="K132" s="17"/>
      <c r="L132" s="27" t="str">
        <f t="shared" si="3"/>
        <v/>
      </c>
    </row>
    <row r="133" spans="2:12" x14ac:dyDescent="0.2">
      <c r="B133" s="28"/>
      <c r="C133" s="16"/>
      <c r="D133" s="17"/>
      <c r="E133" s="17"/>
      <c r="F133" s="17"/>
      <c r="G133" s="17"/>
      <c r="H133" s="17"/>
      <c r="I133" s="17"/>
      <c r="J133" s="17"/>
      <c r="K133" s="17"/>
      <c r="L133" s="27" t="str">
        <f t="shared" si="3"/>
        <v/>
      </c>
    </row>
    <row r="134" spans="2:12" x14ac:dyDescent="0.2">
      <c r="B134" s="28"/>
      <c r="C134" s="16"/>
      <c r="D134" s="17"/>
      <c r="E134" s="17"/>
      <c r="F134" s="17"/>
      <c r="G134" s="17"/>
      <c r="H134" s="17"/>
      <c r="I134" s="17"/>
      <c r="J134" s="17"/>
      <c r="K134" s="17"/>
      <c r="L134" s="27" t="str">
        <f t="shared" si="3"/>
        <v/>
      </c>
    </row>
    <row r="135" spans="2:12" x14ac:dyDescent="0.2">
      <c r="B135" s="28"/>
      <c r="C135" s="16"/>
      <c r="D135" s="17"/>
      <c r="E135" s="17"/>
      <c r="F135" s="17"/>
      <c r="G135" s="17"/>
      <c r="H135" s="17"/>
      <c r="I135" s="17"/>
      <c r="J135" s="17"/>
      <c r="K135" s="17"/>
      <c r="L135" s="27" t="str">
        <f t="shared" si="3"/>
        <v/>
      </c>
    </row>
    <row r="136" spans="2:12" x14ac:dyDescent="0.2">
      <c r="B136" s="28"/>
      <c r="C136" s="16"/>
      <c r="D136" s="17"/>
      <c r="E136" s="17"/>
      <c r="F136" s="17"/>
      <c r="G136" s="17"/>
      <c r="H136" s="17"/>
      <c r="I136" s="17"/>
      <c r="J136" s="17"/>
      <c r="K136" s="17"/>
      <c r="L136" s="27" t="str">
        <f t="shared" si="3"/>
        <v/>
      </c>
    </row>
    <row r="137" spans="2:12" x14ac:dyDescent="0.2">
      <c r="B137" s="28"/>
      <c r="C137" s="16"/>
      <c r="D137" s="17"/>
      <c r="E137" s="17"/>
      <c r="F137" s="17"/>
      <c r="G137" s="17"/>
      <c r="H137" s="17"/>
      <c r="I137" s="17"/>
      <c r="J137" s="17"/>
      <c r="K137" s="17"/>
      <c r="L137" s="27" t="str">
        <f t="shared" si="3"/>
        <v/>
      </c>
    </row>
    <row r="138" spans="2:12" x14ac:dyDescent="0.2">
      <c r="B138" s="28"/>
      <c r="C138" s="16"/>
      <c r="D138" s="17"/>
      <c r="E138" s="17"/>
      <c r="F138" s="17"/>
      <c r="G138" s="17"/>
      <c r="H138" s="17"/>
      <c r="I138" s="17"/>
      <c r="J138" s="17"/>
      <c r="K138" s="17"/>
      <c r="L138" s="27" t="str">
        <f t="shared" si="3"/>
        <v/>
      </c>
    </row>
    <row r="139" spans="2:12" x14ac:dyDescent="0.2">
      <c r="B139" s="28"/>
      <c r="C139" s="16"/>
      <c r="D139" s="17"/>
      <c r="E139" s="17"/>
      <c r="F139" s="17"/>
      <c r="G139" s="17"/>
      <c r="H139" s="17"/>
      <c r="I139" s="17"/>
      <c r="J139" s="17"/>
      <c r="K139" s="17"/>
      <c r="L139" s="27" t="str">
        <f t="shared" si="3"/>
        <v/>
      </c>
    </row>
    <row r="140" spans="2:12" x14ac:dyDescent="0.2">
      <c r="B140" s="28"/>
      <c r="C140" s="16"/>
      <c r="D140" s="17"/>
      <c r="E140" s="17"/>
      <c r="F140" s="17"/>
      <c r="G140" s="17"/>
      <c r="H140" s="17"/>
      <c r="I140" s="17"/>
      <c r="J140" s="17"/>
      <c r="K140" s="17"/>
      <c r="L140" s="27" t="str">
        <f t="shared" si="3"/>
        <v/>
      </c>
    </row>
    <row r="141" spans="2:12" x14ac:dyDescent="0.2">
      <c r="B141" s="28"/>
      <c r="C141" s="16"/>
      <c r="D141" s="17"/>
      <c r="E141" s="17"/>
      <c r="F141" s="17"/>
      <c r="G141" s="17"/>
      <c r="H141" s="17"/>
      <c r="I141" s="17"/>
      <c r="J141" s="17"/>
      <c r="K141" s="17"/>
      <c r="L141" s="27" t="str">
        <f t="shared" ref="L141:L204" si="4">IF(B141=$K$9*12,J141/$D$9,"")</f>
        <v/>
      </c>
    </row>
    <row r="142" spans="2:12" x14ac:dyDescent="0.2">
      <c r="B142" s="28"/>
      <c r="C142" s="16"/>
      <c r="D142" s="17"/>
      <c r="E142" s="17"/>
      <c r="F142" s="17"/>
      <c r="G142" s="17"/>
      <c r="H142" s="17"/>
      <c r="I142" s="17"/>
      <c r="J142" s="17"/>
      <c r="K142" s="17"/>
      <c r="L142" s="27" t="str">
        <f t="shared" si="4"/>
        <v/>
      </c>
    </row>
    <row r="143" spans="2:12" x14ac:dyDescent="0.2">
      <c r="B143" s="28"/>
      <c r="C143" s="16"/>
      <c r="D143" s="17"/>
      <c r="E143" s="17"/>
      <c r="F143" s="17"/>
      <c r="G143" s="17"/>
      <c r="H143" s="17"/>
      <c r="I143" s="17"/>
      <c r="J143" s="17"/>
      <c r="K143" s="17"/>
      <c r="L143" s="27" t="str">
        <f t="shared" si="4"/>
        <v/>
      </c>
    </row>
    <row r="144" spans="2:12" x14ac:dyDescent="0.2">
      <c r="B144" s="28"/>
      <c r="C144" s="16"/>
      <c r="D144" s="17"/>
      <c r="E144" s="17"/>
      <c r="F144" s="17"/>
      <c r="G144" s="17"/>
      <c r="H144" s="17"/>
      <c r="I144" s="17"/>
      <c r="J144" s="17"/>
      <c r="K144" s="17"/>
      <c r="L144" s="27" t="str">
        <f t="shared" si="4"/>
        <v/>
      </c>
    </row>
    <row r="145" spans="2:12" x14ac:dyDescent="0.2">
      <c r="B145" s="28"/>
      <c r="C145" s="16"/>
      <c r="D145" s="17"/>
      <c r="E145" s="17"/>
      <c r="F145" s="17"/>
      <c r="G145" s="17"/>
      <c r="H145" s="17"/>
      <c r="I145" s="17"/>
      <c r="J145" s="17"/>
      <c r="K145" s="17"/>
      <c r="L145" s="27" t="str">
        <f t="shared" si="4"/>
        <v/>
      </c>
    </row>
    <row r="146" spans="2:12" x14ac:dyDescent="0.2">
      <c r="B146" s="28"/>
      <c r="C146" s="16"/>
      <c r="D146" s="17"/>
      <c r="E146" s="17"/>
      <c r="F146" s="17"/>
      <c r="G146" s="17"/>
      <c r="H146" s="17"/>
      <c r="I146" s="17"/>
      <c r="J146" s="17"/>
      <c r="K146" s="17"/>
      <c r="L146" s="27" t="str">
        <f t="shared" si="4"/>
        <v/>
      </c>
    </row>
    <row r="147" spans="2:12" x14ac:dyDescent="0.2">
      <c r="B147" s="28"/>
      <c r="C147" s="16"/>
      <c r="D147" s="17"/>
      <c r="E147" s="17"/>
      <c r="F147" s="17"/>
      <c r="G147" s="17"/>
      <c r="H147" s="17"/>
      <c r="I147" s="17"/>
      <c r="J147" s="17"/>
      <c r="K147" s="17"/>
      <c r="L147" s="27" t="str">
        <f t="shared" si="4"/>
        <v/>
      </c>
    </row>
    <row r="148" spans="2:12" x14ac:dyDescent="0.2">
      <c r="B148" s="28"/>
      <c r="C148" s="16"/>
      <c r="D148" s="17"/>
      <c r="E148" s="17"/>
      <c r="F148" s="17"/>
      <c r="G148" s="17"/>
      <c r="H148" s="17"/>
      <c r="I148" s="17"/>
      <c r="J148" s="17"/>
      <c r="K148" s="17"/>
      <c r="L148" s="27" t="str">
        <f t="shared" si="4"/>
        <v/>
      </c>
    </row>
    <row r="149" spans="2:12" x14ac:dyDescent="0.2">
      <c r="B149" s="28"/>
      <c r="C149" s="16"/>
      <c r="D149" s="17"/>
      <c r="E149" s="17"/>
      <c r="F149" s="17"/>
      <c r="G149" s="17"/>
      <c r="H149" s="17"/>
      <c r="I149" s="17"/>
      <c r="J149" s="17"/>
      <c r="K149" s="17"/>
      <c r="L149" s="27" t="str">
        <f t="shared" si="4"/>
        <v/>
      </c>
    </row>
    <row r="150" spans="2:12" x14ac:dyDescent="0.2">
      <c r="B150" s="28"/>
      <c r="C150" s="16"/>
      <c r="D150" s="17"/>
      <c r="E150" s="17"/>
      <c r="F150" s="17"/>
      <c r="G150" s="17"/>
      <c r="H150" s="17"/>
      <c r="I150" s="17"/>
      <c r="J150" s="17"/>
      <c r="K150" s="17"/>
      <c r="L150" s="27" t="str">
        <f t="shared" si="4"/>
        <v/>
      </c>
    </row>
    <row r="151" spans="2:12" x14ac:dyDescent="0.2">
      <c r="B151" s="28"/>
      <c r="C151" s="16"/>
      <c r="D151" s="17"/>
      <c r="E151" s="17"/>
      <c r="F151" s="17"/>
      <c r="G151" s="17"/>
      <c r="H151" s="17"/>
      <c r="I151" s="17"/>
      <c r="J151" s="17"/>
      <c r="K151" s="17"/>
      <c r="L151" s="27" t="str">
        <f t="shared" si="4"/>
        <v/>
      </c>
    </row>
    <row r="152" spans="2:12" x14ac:dyDescent="0.2">
      <c r="B152" s="28"/>
      <c r="C152" s="16"/>
      <c r="D152" s="17"/>
      <c r="E152" s="17"/>
      <c r="F152" s="17"/>
      <c r="G152" s="17"/>
      <c r="H152" s="17"/>
      <c r="I152" s="17"/>
      <c r="J152" s="17"/>
      <c r="K152" s="17"/>
      <c r="L152" s="27" t="str">
        <f t="shared" si="4"/>
        <v/>
      </c>
    </row>
    <row r="153" spans="2:12" x14ac:dyDescent="0.2">
      <c r="B153" s="28"/>
      <c r="C153" s="16"/>
      <c r="D153" s="17"/>
      <c r="E153" s="17"/>
      <c r="F153" s="17"/>
      <c r="G153" s="17"/>
      <c r="H153" s="17"/>
      <c r="I153" s="17"/>
      <c r="J153" s="17"/>
      <c r="K153" s="17"/>
      <c r="L153" s="27" t="str">
        <f t="shared" si="4"/>
        <v/>
      </c>
    </row>
    <row r="154" spans="2:12" x14ac:dyDescent="0.2">
      <c r="B154" s="28"/>
      <c r="C154" s="16"/>
      <c r="D154" s="17"/>
      <c r="E154" s="17"/>
      <c r="F154" s="17"/>
      <c r="G154" s="17"/>
      <c r="H154" s="17"/>
      <c r="I154" s="17"/>
      <c r="J154" s="17"/>
      <c r="K154" s="17"/>
      <c r="L154" s="27" t="str">
        <f t="shared" si="4"/>
        <v/>
      </c>
    </row>
    <row r="155" spans="2:12" x14ac:dyDescent="0.2">
      <c r="B155" s="28"/>
      <c r="C155" s="16"/>
      <c r="D155" s="17"/>
      <c r="E155" s="17"/>
      <c r="F155" s="17"/>
      <c r="G155" s="17"/>
      <c r="H155" s="17"/>
      <c r="I155" s="17"/>
      <c r="J155" s="17"/>
      <c r="K155" s="17"/>
      <c r="L155" s="27" t="str">
        <f t="shared" si="4"/>
        <v/>
      </c>
    </row>
    <row r="156" spans="2:12" x14ac:dyDescent="0.2">
      <c r="B156" s="28"/>
      <c r="C156" s="16"/>
      <c r="D156" s="17"/>
      <c r="E156" s="17"/>
      <c r="F156" s="17"/>
      <c r="G156" s="17"/>
      <c r="H156" s="17"/>
      <c r="I156" s="17"/>
      <c r="J156" s="17"/>
      <c r="K156" s="17"/>
      <c r="L156" s="27" t="str">
        <f t="shared" si="4"/>
        <v/>
      </c>
    </row>
    <row r="157" spans="2:12" x14ac:dyDescent="0.2">
      <c r="B157" s="28"/>
      <c r="C157" s="16"/>
      <c r="D157" s="17"/>
      <c r="E157" s="17"/>
      <c r="F157" s="17"/>
      <c r="G157" s="17"/>
      <c r="H157" s="17"/>
      <c r="I157" s="17"/>
      <c r="J157" s="17"/>
      <c r="K157" s="17"/>
      <c r="L157" s="27" t="str">
        <f t="shared" si="4"/>
        <v/>
      </c>
    </row>
    <row r="158" spans="2:12" x14ac:dyDescent="0.2">
      <c r="B158" s="28"/>
      <c r="C158" s="16"/>
      <c r="D158" s="17"/>
      <c r="E158" s="17"/>
      <c r="F158" s="17"/>
      <c r="G158" s="17"/>
      <c r="H158" s="17"/>
      <c r="I158" s="17"/>
      <c r="J158" s="17"/>
      <c r="K158" s="17"/>
      <c r="L158" s="27" t="str">
        <f t="shared" si="4"/>
        <v/>
      </c>
    </row>
    <row r="159" spans="2:12" x14ac:dyDescent="0.2">
      <c r="B159" s="28"/>
      <c r="C159" s="16"/>
      <c r="D159" s="17"/>
      <c r="E159" s="17"/>
      <c r="F159" s="17"/>
      <c r="G159" s="17"/>
      <c r="H159" s="17"/>
      <c r="I159" s="17"/>
      <c r="J159" s="17"/>
      <c r="K159" s="17"/>
      <c r="L159" s="27" t="str">
        <f t="shared" si="4"/>
        <v/>
      </c>
    </row>
    <row r="160" spans="2:12" x14ac:dyDescent="0.2">
      <c r="B160" s="28"/>
      <c r="C160" s="16"/>
      <c r="D160" s="17"/>
      <c r="E160" s="17"/>
      <c r="F160" s="17"/>
      <c r="G160" s="17"/>
      <c r="H160" s="17"/>
      <c r="I160" s="17"/>
      <c r="J160" s="17"/>
      <c r="K160" s="17"/>
      <c r="L160" s="27" t="str">
        <f t="shared" si="4"/>
        <v/>
      </c>
    </row>
    <row r="161" spans="2:12" x14ac:dyDescent="0.2">
      <c r="B161" s="28"/>
      <c r="C161" s="16"/>
      <c r="D161" s="17"/>
      <c r="E161" s="17"/>
      <c r="F161" s="17"/>
      <c r="G161" s="17"/>
      <c r="H161" s="17"/>
      <c r="I161" s="17"/>
      <c r="J161" s="17"/>
      <c r="K161" s="17"/>
      <c r="L161" s="27" t="str">
        <f t="shared" si="4"/>
        <v/>
      </c>
    </row>
    <row r="162" spans="2:12" x14ac:dyDescent="0.2">
      <c r="B162" s="28"/>
      <c r="C162" s="16"/>
      <c r="D162" s="17"/>
      <c r="E162" s="17"/>
      <c r="F162" s="17"/>
      <c r="G162" s="17"/>
      <c r="H162" s="17"/>
      <c r="I162" s="17"/>
      <c r="J162" s="17"/>
      <c r="K162" s="17"/>
      <c r="L162" s="27" t="str">
        <f t="shared" si="4"/>
        <v/>
      </c>
    </row>
    <row r="163" spans="2:12" x14ac:dyDescent="0.2">
      <c r="B163" s="28"/>
      <c r="C163" s="16"/>
      <c r="D163" s="17"/>
      <c r="E163" s="17"/>
      <c r="F163" s="17"/>
      <c r="G163" s="17"/>
      <c r="H163" s="17"/>
      <c r="I163" s="17"/>
      <c r="J163" s="17"/>
      <c r="K163" s="17"/>
      <c r="L163" s="27" t="str">
        <f t="shared" si="4"/>
        <v/>
      </c>
    </row>
    <row r="164" spans="2:12" x14ac:dyDescent="0.2">
      <c r="B164" s="28"/>
      <c r="C164" s="16"/>
      <c r="D164" s="17"/>
      <c r="E164" s="17"/>
      <c r="F164" s="17"/>
      <c r="G164" s="17"/>
      <c r="H164" s="17"/>
      <c r="I164" s="17"/>
      <c r="J164" s="17"/>
      <c r="K164" s="17"/>
      <c r="L164" s="27" t="str">
        <f t="shared" si="4"/>
        <v/>
      </c>
    </row>
    <row r="165" spans="2:12" x14ac:dyDescent="0.2">
      <c r="B165" s="28"/>
      <c r="C165" s="16"/>
      <c r="D165" s="17"/>
      <c r="E165" s="17"/>
      <c r="F165" s="17"/>
      <c r="G165" s="17"/>
      <c r="H165" s="17"/>
      <c r="I165" s="17"/>
      <c r="J165" s="17"/>
      <c r="K165" s="17"/>
      <c r="L165" s="27" t="str">
        <f t="shared" si="4"/>
        <v/>
      </c>
    </row>
    <row r="166" spans="2:12" x14ac:dyDescent="0.2">
      <c r="B166" s="28"/>
      <c r="C166" s="16"/>
      <c r="D166" s="17"/>
      <c r="E166" s="17"/>
      <c r="F166" s="17"/>
      <c r="G166" s="17"/>
      <c r="H166" s="17"/>
      <c r="I166" s="17"/>
      <c r="J166" s="17"/>
      <c r="K166" s="17"/>
      <c r="L166" s="27" t="str">
        <f t="shared" si="4"/>
        <v/>
      </c>
    </row>
    <row r="167" spans="2:12" x14ac:dyDescent="0.2">
      <c r="B167" s="28"/>
      <c r="C167" s="16"/>
      <c r="D167" s="17"/>
      <c r="E167" s="17"/>
      <c r="F167" s="17"/>
      <c r="G167" s="17"/>
      <c r="H167" s="17"/>
      <c r="I167" s="17"/>
      <c r="J167" s="17"/>
      <c r="K167" s="17"/>
      <c r="L167" s="27" t="str">
        <f t="shared" si="4"/>
        <v/>
      </c>
    </row>
    <row r="168" spans="2:12" x14ac:dyDescent="0.2">
      <c r="B168" s="28"/>
      <c r="C168" s="16"/>
      <c r="D168" s="17"/>
      <c r="E168" s="17"/>
      <c r="F168" s="17"/>
      <c r="G168" s="17"/>
      <c r="H168" s="17"/>
      <c r="I168" s="17"/>
      <c r="J168" s="17"/>
      <c r="K168" s="17"/>
      <c r="L168" s="27" t="str">
        <f t="shared" si="4"/>
        <v/>
      </c>
    </row>
    <row r="169" spans="2:12" x14ac:dyDescent="0.2">
      <c r="B169" s="28"/>
      <c r="C169" s="16"/>
      <c r="D169" s="17"/>
      <c r="E169" s="17"/>
      <c r="F169" s="17"/>
      <c r="G169" s="17"/>
      <c r="H169" s="17"/>
      <c r="I169" s="17"/>
      <c r="J169" s="17"/>
      <c r="K169" s="17"/>
      <c r="L169" s="27" t="str">
        <f t="shared" si="4"/>
        <v/>
      </c>
    </row>
    <row r="170" spans="2:12" x14ac:dyDescent="0.2">
      <c r="B170" s="28"/>
      <c r="C170" s="16"/>
      <c r="D170" s="17"/>
      <c r="E170" s="17"/>
      <c r="F170" s="17"/>
      <c r="G170" s="17"/>
      <c r="H170" s="17"/>
      <c r="I170" s="17"/>
      <c r="J170" s="17"/>
      <c r="K170" s="17"/>
      <c r="L170" s="27" t="str">
        <f t="shared" si="4"/>
        <v/>
      </c>
    </row>
    <row r="171" spans="2:12" x14ac:dyDescent="0.2">
      <c r="B171" s="28"/>
      <c r="C171" s="16"/>
      <c r="D171" s="17"/>
      <c r="E171" s="17"/>
      <c r="F171" s="17"/>
      <c r="G171" s="17"/>
      <c r="H171" s="17"/>
      <c r="I171" s="17"/>
      <c r="J171" s="17"/>
      <c r="K171" s="17"/>
      <c r="L171" s="27" t="str">
        <f t="shared" si="4"/>
        <v/>
      </c>
    </row>
    <row r="172" spans="2:12" x14ac:dyDescent="0.2">
      <c r="B172" s="28"/>
      <c r="C172" s="16"/>
      <c r="D172" s="17"/>
      <c r="E172" s="17"/>
      <c r="F172" s="17"/>
      <c r="G172" s="17"/>
      <c r="H172" s="17"/>
      <c r="I172" s="17"/>
      <c r="J172" s="17"/>
      <c r="K172" s="17"/>
      <c r="L172" s="27" t="str">
        <f t="shared" si="4"/>
        <v/>
      </c>
    </row>
    <row r="173" spans="2:12" x14ac:dyDescent="0.2">
      <c r="B173" s="28"/>
      <c r="C173" s="16"/>
      <c r="D173" s="17"/>
      <c r="E173" s="17"/>
      <c r="F173" s="17"/>
      <c r="G173" s="17"/>
      <c r="H173" s="17"/>
      <c r="I173" s="17"/>
      <c r="J173" s="17"/>
      <c r="K173" s="17"/>
      <c r="L173" s="27" t="str">
        <f t="shared" si="4"/>
        <v/>
      </c>
    </row>
    <row r="174" spans="2:12" x14ac:dyDescent="0.2">
      <c r="B174" s="28"/>
      <c r="C174" s="16"/>
      <c r="D174" s="17"/>
      <c r="E174" s="17"/>
      <c r="F174" s="17"/>
      <c r="G174" s="17"/>
      <c r="H174" s="17"/>
      <c r="I174" s="17"/>
      <c r="J174" s="17"/>
      <c r="K174" s="17"/>
      <c r="L174" s="27" t="str">
        <f t="shared" si="4"/>
        <v/>
      </c>
    </row>
    <row r="175" spans="2:12" x14ac:dyDescent="0.2">
      <c r="B175" s="28"/>
      <c r="C175" s="16"/>
      <c r="D175" s="17"/>
      <c r="E175" s="17"/>
      <c r="F175" s="17"/>
      <c r="G175" s="17"/>
      <c r="H175" s="17"/>
      <c r="I175" s="17"/>
      <c r="J175" s="17"/>
      <c r="K175" s="17"/>
      <c r="L175" s="27" t="str">
        <f t="shared" si="4"/>
        <v/>
      </c>
    </row>
    <row r="176" spans="2:12" x14ac:dyDescent="0.2">
      <c r="B176" s="28"/>
      <c r="C176" s="16"/>
      <c r="D176" s="17"/>
      <c r="E176" s="17"/>
      <c r="F176" s="17"/>
      <c r="G176" s="17"/>
      <c r="H176" s="17"/>
      <c r="I176" s="17"/>
      <c r="J176" s="17"/>
      <c r="K176" s="17"/>
      <c r="L176" s="27" t="str">
        <f t="shared" si="4"/>
        <v/>
      </c>
    </row>
    <row r="177" spans="2:12" x14ac:dyDescent="0.2">
      <c r="B177" s="28"/>
      <c r="C177" s="16"/>
      <c r="D177" s="17"/>
      <c r="E177" s="17"/>
      <c r="F177" s="17"/>
      <c r="G177" s="17"/>
      <c r="H177" s="17"/>
      <c r="I177" s="17"/>
      <c r="J177" s="17"/>
      <c r="K177" s="17"/>
      <c r="L177" s="27" t="str">
        <f t="shared" si="4"/>
        <v/>
      </c>
    </row>
    <row r="178" spans="2:12" x14ac:dyDescent="0.2">
      <c r="B178" s="28"/>
      <c r="C178" s="16"/>
      <c r="D178" s="17"/>
      <c r="E178" s="17"/>
      <c r="F178" s="17"/>
      <c r="G178" s="17"/>
      <c r="H178" s="17"/>
      <c r="I178" s="17"/>
      <c r="J178" s="17"/>
      <c r="K178" s="17"/>
      <c r="L178" s="27" t="str">
        <f t="shared" si="4"/>
        <v/>
      </c>
    </row>
    <row r="179" spans="2:12" x14ac:dyDescent="0.2">
      <c r="B179" s="28"/>
      <c r="C179" s="16"/>
      <c r="D179" s="17"/>
      <c r="E179" s="17"/>
      <c r="F179" s="17"/>
      <c r="G179" s="17"/>
      <c r="H179" s="17"/>
      <c r="I179" s="17"/>
      <c r="J179" s="17"/>
      <c r="K179" s="17"/>
      <c r="L179" s="27" t="str">
        <f t="shared" si="4"/>
        <v/>
      </c>
    </row>
    <row r="180" spans="2:12" x14ac:dyDescent="0.2">
      <c r="B180" s="28"/>
      <c r="C180" s="16"/>
      <c r="D180" s="17"/>
      <c r="E180" s="17"/>
      <c r="F180" s="17"/>
      <c r="G180" s="17"/>
      <c r="H180" s="17"/>
      <c r="I180" s="17"/>
      <c r="J180" s="17"/>
      <c r="K180" s="17"/>
      <c r="L180" s="27" t="str">
        <f t="shared" si="4"/>
        <v/>
      </c>
    </row>
    <row r="181" spans="2:12" x14ac:dyDescent="0.2">
      <c r="B181" s="28"/>
      <c r="C181" s="16"/>
      <c r="D181" s="17"/>
      <c r="E181" s="17"/>
      <c r="F181" s="17"/>
      <c r="G181" s="17"/>
      <c r="H181" s="17"/>
      <c r="I181" s="17"/>
      <c r="J181" s="17"/>
      <c r="K181" s="17"/>
      <c r="L181" s="27" t="str">
        <f t="shared" si="4"/>
        <v/>
      </c>
    </row>
    <row r="182" spans="2:12" x14ac:dyDescent="0.2">
      <c r="B182" s="28"/>
      <c r="C182" s="16"/>
      <c r="D182" s="17"/>
      <c r="E182" s="17"/>
      <c r="F182" s="17"/>
      <c r="G182" s="17"/>
      <c r="H182" s="17"/>
      <c r="I182" s="17"/>
      <c r="J182" s="17"/>
      <c r="K182" s="17"/>
      <c r="L182" s="27" t="str">
        <f t="shared" si="4"/>
        <v/>
      </c>
    </row>
    <row r="183" spans="2:12" x14ac:dyDescent="0.2">
      <c r="B183" s="28"/>
      <c r="C183" s="16"/>
      <c r="D183" s="17"/>
      <c r="E183" s="17"/>
      <c r="F183" s="17"/>
      <c r="G183" s="17"/>
      <c r="H183" s="17"/>
      <c r="I183" s="17"/>
      <c r="J183" s="17"/>
      <c r="K183" s="17"/>
      <c r="L183" s="27" t="str">
        <f t="shared" si="4"/>
        <v/>
      </c>
    </row>
    <row r="184" spans="2:12" x14ac:dyDescent="0.2">
      <c r="B184" s="28"/>
      <c r="C184" s="16"/>
      <c r="D184" s="17"/>
      <c r="E184" s="17"/>
      <c r="F184" s="17"/>
      <c r="G184" s="17"/>
      <c r="H184" s="17"/>
      <c r="I184" s="17"/>
      <c r="J184" s="17"/>
      <c r="K184" s="17"/>
      <c r="L184" s="27" t="str">
        <f t="shared" si="4"/>
        <v/>
      </c>
    </row>
    <row r="185" spans="2:12" x14ac:dyDescent="0.2">
      <c r="B185" s="28"/>
      <c r="C185" s="16"/>
      <c r="D185" s="17"/>
      <c r="E185" s="17"/>
      <c r="F185" s="17"/>
      <c r="G185" s="17"/>
      <c r="H185" s="17"/>
      <c r="I185" s="17"/>
      <c r="J185" s="17"/>
      <c r="K185" s="17"/>
      <c r="L185" s="27" t="str">
        <f t="shared" si="4"/>
        <v/>
      </c>
    </row>
    <row r="186" spans="2:12" x14ac:dyDescent="0.2">
      <c r="B186" s="28"/>
      <c r="C186" s="16"/>
      <c r="D186" s="17"/>
      <c r="E186" s="17"/>
      <c r="F186" s="17"/>
      <c r="G186" s="17"/>
      <c r="H186" s="17"/>
      <c r="I186" s="17"/>
      <c r="J186" s="17"/>
      <c r="K186" s="17"/>
      <c r="L186" s="27" t="str">
        <f t="shared" si="4"/>
        <v/>
      </c>
    </row>
    <row r="187" spans="2:12" x14ac:dyDescent="0.2">
      <c r="B187" s="28"/>
      <c r="C187" s="16"/>
      <c r="D187" s="17"/>
      <c r="E187" s="17"/>
      <c r="F187" s="17"/>
      <c r="G187" s="17"/>
      <c r="H187" s="17"/>
      <c r="I187" s="17"/>
      <c r="J187" s="17"/>
      <c r="K187" s="17"/>
      <c r="L187" s="27" t="str">
        <f t="shared" si="4"/>
        <v/>
      </c>
    </row>
    <row r="188" spans="2:12" x14ac:dyDescent="0.2">
      <c r="B188" s="28"/>
      <c r="C188" s="16"/>
      <c r="D188" s="17"/>
      <c r="E188" s="17"/>
      <c r="F188" s="17"/>
      <c r="G188" s="17"/>
      <c r="H188" s="17"/>
      <c r="I188" s="17"/>
      <c r="J188" s="17"/>
      <c r="K188" s="17"/>
      <c r="L188" s="27" t="str">
        <f t="shared" si="4"/>
        <v/>
      </c>
    </row>
    <row r="189" spans="2:12" x14ac:dyDescent="0.2">
      <c r="B189" s="28"/>
      <c r="C189" s="16"/>
      <c r="D189" s="17"/>
      <c r="E189" s="17"/>
      <c r="F189" s="17"/>
      <c r="G189" s="17"/>
      <c r="H189" s="17"/>
      <c r="I189" s="17"/>
      <c r="J189" s="17"/>
      <c r="K189" s="17"/>
      <c r="L189" s="27" t="str">
        <f t="shared" si="4"/>
        <v/>
      </c>
    </row>
    <row r="190" spans="2:12" x14ac:dyDescent="0.2">
      <c r="B190" s="28"/>
      <c r="C190" s="16"/>
      <c r="D190" s="17"/>
      <c r="E190" s="17"/>
      <c r="F190" s="17"/>
      <c r="G190" s="17"/>
      <c r="H190" s="17"/>
      <c r="I190" s="17"/>
      <c r="J190" s="17"/>
      <c r="K190" s="17"/>
      <c r="L190" s="27" t="str">
        <f t="shared" si="4"/>
        <v/>
      </c>
    </row>
    <row r="191" spans="2:12" x14ac:dyDescent="0.2">
      <c r="B191" s="28"/>
      <c r="C191" s="16"/>
      <c r="D191" s="17"/>
      <c r="E191" s="17"/>
      <c r="F191" s="17"/>
      <c r="G191" s="17"/>
      <c r="H191" s="17"/>
      <c r="I191" s="17"/>
      <c r="J191" s="17"/>
      <c r="K191" s="17"/>
      <c r="L191" s="27" t="str">
        <f t="shared" si="4"/>
        <v/>
      </c>
    </row>
    <row r="192" spans="2:12" x14ac:dyDescent="0.2">
      <c r="B192" s="28"/>
      <c r="C192" s="16"/>
      <c r="D192" s="17"/>
      <c r="E192" s="17"/>
      <c r="F192" s="17"/>
      <c r="G192" s="17"/>
      <c r="H192" s="17"/>
      <c r="I192" s="17"/>
      <c r="J192" s="17"/>
      <c r="K192" s="17"/>
      <c r="L192" s="27" t="str">
        <f t="shared" si="4"/>
        <v/>
      </c>
    </row>
    <row r="193" spans="2:12" x14ac:dyDescent="0.2">
      <c r="B193" s="28"/>
      <c r="C193" s="16"/>
      <c r="D193" s="17"/>
      <c r="E193" s="17"/>
      <c r="F193" s="17"/>
      <c r="G193" s="17"/>
      <c r="H193" s="17"/>
      <c r="I193" s="17"/>
      <c r="J193" s="17"/>
      <c r="K193" s="17"/>
      <c r="L193" s="27" t="str">
        <f t="shared" si="4"/>
        <v/>
      </c>
    </row>
    <row r="194" spans="2:12" x14ac:dyDescent="0.2">
      <c r="B194" s="28"/>
      <c r="C194" s="16"/>
      <c r="D194" s="17"/>
      <c r="E194" s="17"/>
      <c r="F194" s="17"/>
      <c r="G194" s="17"/>
      <c r="H194" s="17"/>
      <c r="I194" s="17"/>
      <c r="J194" s="17"/>
      <c r="K194" s="17"/>
      <c r="L194" s="27" t="str">
        <f t="shared" si="4"/>
        <v/>
      </c>
    </row>
    <row r="195" spans="2:12" x14ac:dyDescent="0.2">
      <c r="B195" s="28"/>
      <c r="C195" s="16"/>
      <c r="D195" s="17"/>
      <c r="E195" s="17"/>
      <c r="F195" s="17"/>
      <c r="G195" s="17"/>
      <c r="H195" s="17"/>
      <c r="I195" s="17"/>
      <c r="J195" s="17"/>
      <c r="K195" s="17"/>
      <c r="L195" s="27" t="str">
        <f t="shared" si="4"/>
        <v/>
      </c>
    </row>
    <row r="196" spans="2:12" x14ac:dyDescent="0.2">
      <c r="B196" s="28"/>
      <c r="C196" s="16"/>
      <c r="D196" s="17"/>
      <c r="E196" s="17"/>
      <c r="F196" s="17"/>
      <c r="G196" s="17"/>
      <c r="H196" s="17"/>
      <c r="I196" s="17"/>
      <c r="J196" s="17"/>
      <c r="K196" s="17"/>
      <c r="L196" s="27" t="str">
        <f t="shared" si="4"/>
        <v/>
      </c>
    </row>
    <row r="197" spans="2:12" x14ac:dyDescent="0.2">
      <c r="B197" s="28"/>
      <c r="C197" s="16"/>
      <c r="D197" s="17"/>
      <c r="E197" s="17"/>
      <c r="F197" s="17"/>
      <c r="G197" s="17"/>
      <c r="H197" s="17"/>
      <c r="I197" s="17"/>
      <c r="J197" s="17"/>
      <c r="K197" s="17"/>
      <c r="L197" s="27" t="str">
        <f t="shared" si="4"/>
        <v/>
      </c>
    </row>
    <row r="198" spans="2:12" x14ac:dyDescent="0.2">
      <c r="B198" s="28"/>
      <c r="C198" s="16"/>
      <c r="D198" s="17"/>
      <c r="E198" s="17"/>
      <c r="F198" s="17"/>
      <c r="G198" s="17"/>
      <c r="H198" s="17"/>
      <c r="I198" s="17"/>
      <c r="J198" s="17"/>
      <c r="K198" s="17"/>
      <c r="L198" s="27" t="str">
        <f t="shared" si="4"/>
        <v/>
      </c>
    </row>
    <row r="199" spans="2:12" x14ac:dyDescent="0.2">
      <c r="B199" s="28"/>
      <c r="C199" s="16"/>
      <c r="D199" s="17"/>
      <c r="E199" s="17"/>
      <c r="F199" s="17"/>
      <c r="G199" s="17"/>
      <c r="H199" s="17"/>
      <c r="I199" s="17"/>
      <c r="J199" s="17"/>
      <c r="K199" s="17"/>
      <c r="L199" s="27" t="str">
        <f t="shared" si="4"/>
        <v/>
      </c>
    </row>
    <row r="200" spans="2:12" x14ac:dyDescent="0.2">
      <c r="B200" s="28"/>
      <c r="C200" s="16"/>
      <c r="D200" s="17"/>
      <c r="E200" s="17"/>
      <c r="F200" s="17"/>
      <c r="G200" s="17"/>
      <c r="H200" s="17"/>
      <c r="I200" s="17"/>
      <c r="J200" s="17"/>
      <c r="K200" s="17"/>
      <c r="L200" s="27" t="str">
        <f t="shared" si="4"/>
        <v/>
      </c>
    </row>
    <row r="201" spans="2:12" x14ac:dyDescent="0.2">
      <c r="B201" s="28"/>
      <c r="C201" s="16"/>
      <c r="D201" s="17"/>
      <c r="E201" s="17"/>
      <c r="F201" s="17"/>
      <c r="G201" s="17"/>
      <c r="H201" s="17"/>
      <c r="I201" s="17"/>
      <c r="J201" s="17"/>
      <c r="K201" s="17"/>
      <c r="L201" s="27" t="str">
        <f t="shared" si="4"/>
        <v/>
      </c>
    </row>
    <row r="202" spans="2:12" x14ac:dyDescent="0.2">
      <c r="B202" s="28"/>
      <c r="C202" s="16"/>
      <c r="D202" s="17"/>
      <c r="E202" s="17"/>
      <c r="F202" s="17"/>
      <c r="G202" s="17"/>
      <c r="H202" s="17"/>
      <c r="I202" s="17"/>
      <c r="J202" s="17"/>
      <c r="K202" s="17"/>
      <c r="L202" s="27" t="str">
        <f t="shared" si="4"/>
        <v/>
      </c>
    </row>
    <row r="203" spans="2:12" x14ac:dyDescent="0.2">
      <c r="B203" s="28"/>
      <c r="C203" s="16"/>
      <c r="D203" s="17"/>
      <c r="E203" s="17"/>
      <c r="F203" s="17"/>
      <c r="G203" s="17"/>
      <c r="H203" s="17"/>
      <c r="I203" s="17"/>
      <c r="J203" s="17"/>
      <c r="K203" s="17"/>
      <c r="L203" s="27" t="str">
        <f t="shared" si="4"/>
        <v/>
      </c>
    </row>
    <row r="204" spans="2:12" x14ac:dyDescent="0.2">
      <c r="B204" s="28"/>
      <c r="C204" s="16"/>
      <c r="D204" s="17"/>
      <c r="E204" s="17"/>
      <c r="F204" s="17"/>
      <c r="G204" s="17"/>
      <c r="H204" s="17"/>
      <c r="I204" s="17"/>
      <c r="J204" s="17"/>
      <c r="K204" s="17"/>
      <c r="L204" s="27" t="str">
        <f t="shared" si="4"/>
        <v/>
      </c>
    </row>
    <row r="205" spans="2:12" x14ac:dyDescent="0.2">
      <c r="B205" s="28"/>
      <c r="C205" s="16"/>
      <c r="D205" s="17"/>
      <c r="E205" s="17"/>
      <c r="F205" s="17"/>
      <c r="G205" s="17"/>
      <c r="H205" s="17"/>
      <c r="I205" s="17"/>
      <c r="J205" s="17"/>
      <c r="K205" s="17"/>
      <c r="L205" s="27" t="str">
        <f t="shared" ref="L205:L268" si="5">IF(B205=$K$9*12,J205/$D$9,"")</f>
        <v/>
      </c>
    </row>
    <row r="206" spans="2:12" x14ac:dyDescent="0.2">
      <c r="B206" s="28"/>
      <c r="C206" s="16"/>
      <c r="D206" s="17"/>
      <c r="E206" s="17"/>
      <c r="F206" s="17"/>
      <c r="G206" s="17"/>
      <c r="H206" s="17"/>
      <c r="I206" s="17"/>
      <c r="J206" s="17"/>
      <c r="K206" s="17"/>
      <c r="L206" s="27" t="str">
        <f t="shared" si="5"/>
        <v/>
      </c>
    </row>
    <row r="207" spans="2:12" x14ac:dyDescent="0.2">
      <c r="B207" s="28"/>
      <c r="C207" s="16"/>
      <c r="D207" s="17"/>
      <c r="E207" s="17"/>
      <c r="F207" s="17"/>
      <c r="G207" s="17"/>
      <c r="H207" s="17"/>
      <c r="I207" s="17"/>
      <c r="J207" s="17"/>
      <c r="K207" s="17"/>
      <c r="L207" s="27" t="str">
        <f t="shared" si="5"/>
        <v/>
      </c>
    </row>
    <row r="208" spans="2:12" x14ac:dyDescent="0.2">
      <c r="B208" s="28"/>
      <c r="C208" s="16"/>
      <c r="D208" s="17"/>
      <c r="E208" s="17"/>
      <c r="F208" s="17"/>
      <c r="G208" s="17"/>
      <c r="H208" s="17"/>
      <c r="I208" s="17"/>
      <c r="J208" s="17"/>
      <c r="K208" s="17"/>
      <c r="L208" s="27" t="str">
        <f t="shared" si="5"/>
        <v/>
      </c>
    </row>
    <row r="209" spans="2:12" x14ac:dyDescent="0.2">
      <c r="B209" s="28"/>
      <c r="C209" s="16"/>
      <c r="D209" s="17"/>
      <c r="E209" s="17"/>
      <c r="F209" s="17"/>
      <c r="G209" s="17"/>
      <c r="H209" s="17"/>
      <c r="I209" s="17"/>
      <c r="J209" s="17"/>
      <c r="K209" s="17"/>
      <c r="L209" s="27" t="str">
        <f t="shared" si="5"/>
        <v/>
      </c>
    </row>
    <row r="210" spans="2:12" x14ac:dyDescent="0.2">
      <c r="B210" s="28"/>
      <c r="C210" s="16"/>
      <c r="D210" s="17"/>
      <c r="E210" s="17"/>
      <c r="F210" s="17"/>
      <c r="G210" s="17"/>
      <c r="H210" s="17"/>
      <c r="I210" s="17"/>
      <c r="J210" s="17"/>
      <c r="K210" s="17"/>
      <c r="L210" s="27" t="str">
        <f t="shared" si="5"/>
        <v/>
      </c>
    </row>
    <row r="211" spans="2:12" x14ac:dyDescent="0.2">
      <c r="B211" s="28"/>
      <c r="C211" s="16"/>
      <c r="D211" s="17"/>
      <c r="E211" s="17"/>
      <c r="F211" s="17"/>
      <c r="G211" s="17"/>
      <c r="H211" s="17"/>
      <c r="I211" s="17"/>
      <c r="J211" s="17"/>
      <c r="K211" s="17"/>
      <c r="L211" s="27" t="str">
        <f t="shared" si="5"/>
        <v/>
      </c>
    </row>
    <row r="212" spans="2:12" x14ac:dyDescent="0.2">
      <c r="B212" s="28"/>
      <c r="C212" s="16"/>
      <c r="D212" s="17"/>
      <c r="E212" s="17"/>
      <c r="F212" s="17"/>
      <c r="G212" s="17"/>
      <c r="H212" s="17"/>
      <c r="I212" s="17"/>
      <c r="J212" s="17"/>
      <c r="K212" s="17"/>
      <c r="L212" s="27" t="str">
        <f t="shared" si="5"/>
        <v/>
      </c>
    </row>
    <row r="213" spans="2:12" x14ac:dyDescent="0.2">
      <c r="B213" s="28"/>
      <c r="C213" s="16"/>
      <c r="D213" s="17"/>
      <c r="E213" s="17"/>
      <c r="F213" s="17"/>
      <c r="G213" s="17"/>
      <c r="H213" s="17"/>
      <c r="I213" s="17"/>
      <c r="J213" s="17"/>
      <c r="K213" s="17"/>
      <c r="L213" s="27" t="str">
        <f t="shared" si="5"/>
        <v/>
      </c>
    </row>
    <row r="214" spans="2:12" x14ac:dyDescent="0.2">
      <c r="B214" s="28"/>
      <c r="C214" s="16"/>
      <c r="D214" s="17"/>
      <c r="E214" s="17"/>
      <c r="F214" s="17"/>
      <c r="G214" s="17"/>
      <c r="H214" s="17"/>
      <c r="I214" s="17"/>
      <c r="J214" s="17"/>
      <c r="K214" s="17"/>
      <c r="L214" s="27" t="str">
        <f t="shared" si="5"/>
        <v/>
      </c>
    </row>
    <row r="215" spans="2:12" x14ac:dyDescent="0.2">
      <c r="B215" s="28"/>
      <c r="C215" s="16"/>
      <c r="D215" s="17"/>
      <c r="E215" s="17"/>
      <c r="F215" s="17"/>
      <c r="G215" s="17"/>
      <c r="H215" s="17"/>
      <c r="I215" s="17"/>
      <c r="J215" s="17"/>
      <c r="K215" s="17"/>
      <c r="L215" s="27" t="str">
        <f t="shared" si="5"/>
        <v/>
      </c>
    </row>
    <row r="216" spans="2:12" x14ac:dyDescent="0.2">
      <c r="B216" s="28"/>
      <c r="C216" s="16"/>
      <c r="D216" s="17"/>
      <c r="E216" s="17"/>
      <c r="F216" s="17"/>
      <c r="G216" s="17"/>
      <c r="H216" s="17"/>
      <c r="I216" s="17"/>
      <c r="J216" s="17"/>
      <c r="K216" s="17"/>
      <c r="L216" s="27" t="str">
        <f t="shared" si="5"/>
        <v/>
      </c>
    </row>
    <row r="217" spans="2:12" x14ac:dyDescent="0.2">
      <c r="B217" s="28"/>
      <c r="C217" s="16"/>
      <c r="D217" s="17"/>
      <c r="E217" s="17"/>
      <c r="F217" s="17"/>
      <c r="G217" s="17"/>
      <c r="H217" s="17"/>
      <c r="I217" s="17"/>
      <c r="J217" s="17"/>
      <c r="K217" s="17"/>
      <c r="L217" s="27" t="str">
        <f t="shared" si="5"/>
        <v/>
      </c>
    </row>
    <row r="218" spans="2:12" x14ac:dyDescent="0.2">
      <c r="B218" s="28"/>
      <c r="C218" s="16"/>
      <c r="D218" s="17"/>
      <c r="E218" s="17"/>
      <c r="F218" s="17"/>
      <c r="G218" s="17"/>
      <c r="H218" s="17"/>
      <c r="I218" s="17"/>
      <c r="J218" s="17"/>
      <c r="K218" s="17"/>
      <c r="L218" s="27" t="str">
        <f t="shared" si="5"/>
        <v/>
      </c>
    </row>
    <row r="219" spans="2:12" x14ac:dyDescent="0.2">
      <c r="B219" s="28"/>
      <c r="C219" s="16"/>
      <c r="D219" s="17"/>
      <c r="E219" s="17"/>
      <c r="F219" s="17"/>
      <c r="G219" s="17"/>
      <c r="H219" s="17"/>
      <c r="I219" s="17"/>
      <c r="J219" s="17"/>
      <c r="K219" s="17"/>
      <c r="L219" s="27" t="str">
        <f t="shared" si="5"/>
        <v/>
      </c>
    </row>
    <row r="220" spans="2:12" x14ac:dyDescent="0.2">
      <c r="B220" s="28"/>
      <c r="C220" s="16"/>
      <c r="D220" s="17"/>
      <c r="E220" s="17"/>
      <c r="F220" s="17"/>
      <c r="G220" s="17"/>
      <c r="H220" s="17"/>
      <c r="I220" s="17"/>
      <c r="J220" s="17"/>
      <c r="K220" s="17"/>
      <c r="L220" s="27" t="str">
        <f t="shared" si="5"/>
        <v/>
      </c>
    </row>
    <row r="221" spans="2:12" x14ac:dyDescent="0.2">
      <c r="B221" s="28"/>
      <c r="C221" s="16"/>
      <c r="D221" s="17"/>
      <c r="E221" s="17"/>
      <c r="F221" s="17"/>
      <c r="G221" s="17"/>
      <c r="H221" s="17"/>
      <c r="I221" s="17"/>
      <c r="J221" s="17"/>
      <c r="K221" s="17"/>
      <c r="L221" s="27" t="str">
        <f t="shared" si="5"/>
        <v/>
      </c>
    </row>
    <row r="222" spans="2:12" x14ac:dyDescent="0.2">
      <c r="B222" s="28"/>
      <c r="C222" s="16"/>
      <c r="D222" s="17"/>
      <c r="E222" s="17"/>
      <c r="F222" s="17"/>
      <c r="G222" s="17"/>
      <c r="H222" s="17"/>
      <c r="I222" s="17"/>
      <c r="J222" s="17"/>
      <c r="K222" s="17"/>
      <c r="L222" s="27" t="str">
        <f t="shared" si="5"/>
        <v/>
      </c>
    </row>
    <row r="223" spans="2:12" x14ac:dyDescent="0.2">
      <c r="B223" s="28"/>
      <c r="C223" s="16"/>
      <c r="D223" s="17"/>
      <c r="E223" s="17"/>
      <c r="F223" s="17"/>
      <c r="G223" s="17"/>
      <c r="H223" s="17"/>
      <c r="I223" s="17"/>
      <c r="J223" s="17"/>
      <c r="K223" s="17"/>
      <c r="L223" s="27" t="str">
        <f t="shared" si="5"/>
        <v/>
      </c>
    </row>
    <row r="224" spans="2:12" x14ac:dyDescent="0.2">
      <c r="B224" s="28"/>
      <c r="C224" s="16"/>
      <c r="D224" s="17"/>
      <c r="E224" s="17"/>
      <c r="F224" s="17"/>
      <c r="G224" s="17"/>
      <c r="H224" s="17"/>
      <c r="I224" s="17"/>
      <c r="J224" s="17"/>
      <c r="K224" s="17"/>
      <c r="L224" s="27" t="str">
        <f t="shared" si="5"/>
        <v/>
      </c>
    </row>
    <row r="225" spans="2:12" x14ac:dyDescent="0.2">
      <c r="B225" s="28"/>
      <c r="C225" s="16"/>
      <c r="D225" s="17"/>
      <c r="E225" s="17"/>
      <c r="F225" s="17"/>
      <c r="G225" s="17"/>
      <c r="H225" s="17"/>
      <c r="I225" s="17"/>
      <c r="J225" s="17"/>
      <c r="K225" s="17"/>
      <c r="L225" s="27" t="str">
        <f t="shared" si="5"/>
        <v/>
      </c>
    </row>
    <row r="226" spans="2:12" x14ac:dyDescent="0.2">
      <c r="B226" s="28"/>
      <c r="C226" s="16"/>
      <c r="D226" s="17"/>
      <c r="E226" s="17"/>
      <c r="F226" s="17"/>
      <c r="G226" s="17"/>
      <c r="H226" s="17"/>
      <c r="I226" s="17"/>
      <c r="J226" s="17"/>
      <c r="K226" s="17"/>
      <c r="L226" s="27" t="str">
        <f t="shared" si="5"/>
        <v/>
      </c>
    </row>
    <row r="227" spans="2:12" x14ac:dyDescent="0.2">
      <c r="B227" s="28"/>
      <c r="C227" s="16"/>
      <c r="D227" s="17"/>
      <c r="E227" s="17"/>
      <c r="F227" s="17"/>
      <c r="G227" s="17"/>
      <c r="H227" s="17"/>
      <c r="I227" s="17"/>
      <c r="J227" s="17"/>
      <c r="K227" s="17"/>
      <c r="L227" s="27" t="str">
        <f t="shared" si="5"/>
        <v/>
      </c>
    </row>
    <row r="228" spans="2:12" x14ac:dyDescent="0.2">
      <c r="B228" s="28"/>
      <c r="C228" s="16"/>
      <c r="D228" s="17"/>
      <c r="E228" s="17"/>
      <c r="F228" s="17"/>
      <c r="G228" s="17"/>
      <c r="H228" s="17"/>
      <c r="I228" s="17"/>
      <c r="J228" s="17"/>
      <c r="K228" s="17"/>
      <c r="L228" s="27" t="str">
        <f t="shared" si="5"/>
        <v/>
      </c>
    </row>
    <row r="229" spans="2:12" x14ac:dyDescent="0.2">
      <c r="B229" s="28"/>
      <c r="C229" s="16"/>
      <c r="D229" s="17"/>
      <c r="E229" s="17"/>
      <c r="F229" s="17"/>
      <c r="G229" s="17"/>
      <c r="H229" s="17"/>
      <c r="I229" s="17"/>
      <c r="J229" s="17"/>
      <c r="K229" s="17"/>
      <c r="L229" s="27" t="str">
        <f t="shared" si="5"/>
        <v/>
      </c>
    </row>
    <row r="230" spans="2:12" x14ac:dyDescent="0.2">
      <c r="B230" s="28"/>
      <c r="C230" s="16"/>
      <c r="D230" s="17"/>
      <c r="E230" s="17"/>
      <c r="F230" s="17"/>
      <c r="G230" s="17"/>
      <c r="H230" s="17"/>
      <c r="I230" s="17"/>
      <c r="J230" s="17"/>
      <c r="K230" s="17"/>
      <c r="L230" s="27" t="str">
        <f t="shared" si="5"/>
        <v/>
      </c>
    </row>
    <row r="231" spans="2:12" x14ac:dyDescent="0.2">
      <c r="B231" s="28"/>
      <c r="C231" s="16"/>
      <c r="D231" s="17"/>
      <c r="E231" s="17"/>
      <c r="F231" s="17"/>
      <c r="G231" s="17"/>
      <c r="H231" s="17"/>
      <c r="I231" s="17"/>
      <c r="J231" s="17"/>
      <c r="K231" s="17"/>
      <c r="L231" s="27" t="str">
        <f t="shared" si="5"/>
        <v/>
      </c>
    </row>
    <row r="232" spans="2:12" x14ac:dyDescent="0.2">
      <c r="B232" s="28"/>
      <c r="C232" s="16"/>
      <c r="D232" s="17"/>
      <c r="E232" s="17"/>
      <c r="F232" s="17"/>
      <c r="G232" s="17"/>
      <c r="H232" s="17"/>
      <c r="I232" s="17"/>
      <c r="J232" s="17"/>
      <c r="K232" s="17"/>
      <c r="L232" s="27" t="str">
        <f t="shared" si="5"/>
        <v/>
      </c>
    </row>
    <row r="233" spans="2:12" x14ac:dyDescent="0.2">
      <c r="B233" s="28"/>
      <c r="C233" s="16"/>
      <c r="D233" s="17"/>
      <c r="E233" s="17"/>
      <c r="F233" s="17"/>
      <c r="G233" s="17"/>
      <c r="H233" s="17"/>
      <c r="I233" s="17"/>
      <c r="J233" s="17"/>
      <c r="K233" s="17"/>
      <c r="L233" s="27" t="str">
        <f t="shared" si="5"/>
        <v/>
      </c>
    </row>
    <row r="234" spans="2:12" x14ac:dyDescent="0.2">
      <c r="B234" s="28"/>
      <c r="C234" s="16"/>
      <c r="D234" s="17"/>
      <c r="E234" s="17"/>
      <c r="F234" s="17"/>
      <c r="G234" s="17"/>
      <c r="H234" s="17"/>
      <c r="I234" s="17"/>
      <c r="J234" s="17"/>
      <c r="K234" s="17"/>
      <c r="L234" s="27" t="str">
        <f t="shared" si="5"/>
        <v/>
      </c>
    </row>
    <row r="235" spans="2:12" x14ac:dyDescent="0.2">
      <c r="B235" s="28"/>
      <c r="C235" s="16"/>
      <c r="D235" s="17"/>
      <c r="E235" s="17"/>
      <c r="F235" s="17"/>
      <c r="G235" s="17"/>
      <c r="H235" s="17"/>
      <c r="I235" s="17"/>
      <c r="J235" s="17"/>
      <c r="K235" s="17"/>
      <c r="L235" s="27" t="str">
        <f t="shared" si="5"/>
        <v/>
      </c>
    </row>
    <row r="236" spans="2:12" x14ac:dyDescent="0.2">
      <c r="B236" s="28"/>
      <c r="C236" s="16"/>
      <c r="D236" s="17"/>
      <c r="E236" s="17"/>
      <c r="F236" s="17"/>
      <c r="G236" s="17"/>
      <c r="H236" s="17"/>
      <c r="I236" s="17"/>
      <c r="J236" s="17"/>
      <c r="K236" s="17"/>
      <c r="L236" s="27" t="str">
        <f t="shared" si="5"/>
        <v/>
      </c>
    </row>
    <row r="237" spans="2:12" x14ac:dyDescent="0.2">
      <c r="B237" s="28"/>
      <c r="C237" s="16"/>
      <c r="D237" s="17"/>
      <c r="E237" s="17"/>
      <c r="F237" s="17"/>
      <c r="G237" s="17"/>
      <c r="H237" s="17"/>
      <c r="I237" s="17"/>
      <c r="J237" s="17"/>
      <c r="K237" s="17"/>
      <c r="L237" s="27" t="str">
        <f t="shared" si="5"/>
        <v/>
      </c>
    </row>
    <row r="238" spans="2:12" x14ac:dyDescent="0.2">
      <c r="B238" s="28"/>
      <c r="C238" s="16"/>
      <c r="D238" s="17"/>
      <c r="E238" s="17"/>
      <c r="F238" s="17"/>
      <c r="G238" s="17"/>
      <c r="H238" s="17"/>
      <c r="I238" s="17"/>
      <c r="J238" s="17"/>
      <c r="K238" s="17"/>
      <c r="L238" s="27" t="str">
        <f t="shared" si="5"/>
        <v/>
      </c>
    </row>
    <row r="239" spans="2:12" x14ac:dyDescent="0.2">
      <c r="B239" s="28"/>
      <c r="C239" s="16"/>
      <c r="D239" s="17"/>
      <c r="E239" s="17"/>
      <c r="F239" s="17"/>
      <c r="G239" s="17"/>
      <c r="H239" s="17"/>
      <c r="I239" s="17"/>
      <c r="J239" s="17"/>
      <c r="K239" s="17"/>
      <c r="L239" s="27" t="str">
        <f t="shared" si="5"/>
        <v/>
      </c>
    </row>
    <row r="240" spans="2:12" x14ac:dyDescent="0.2">
      <c r="B240" s="28"/>
      <c r="C240" s="16"/>
      <c r="D240" s="17"/>
      <c r="E240" s="17"/>
      <c r="F240" s="17"/>
      <c r="G240" s="17"/>
      <c r="H240" s="17"/>
      <c r="I240" s="17"/>
      <c r="J240" s="17"/>
      <c r="K240" s="17"/>
      <c r="L240" s="27" t="str">
        <f t="shared" si="5"/>
        <v/>
      </c>
    </row>
    <row r="241" spans="2:12" x14ac:dyDescent="0.2">
      <c r="B241" s="28"/>
      <c r="C241" s="16"/>
      <c r="D241" s="17"/>
      <c r="E241" s="17"/>
      <c r="F241" s="17"/>
      <c r="G241" s="17"/>
      <c r="H241" s="17"/>
      <c r="I241" s="17"/>
      <c r="J241" s="17"/>
      <c r="K241" s="17"/>
      <c r="L241" s="27" t="str">
        <f t="shared" si="5"/>
        <v/>
      </c>
    </row>
    <row r="242" spans="2:12" x14ac:dyDescent="0.2">
      <c r="B242" s="28"/>
      <c r="C242" s="16"/>
      <c r="D242" s="17"/>
      <c r="E242" s="17"/>
      <c r="F242" s="17"/>
      <c r="G242" s="17"/>
      <c r="H242" s="17"/>
      <c r="I242" s="17"/>
      <c r="J242" s="17"/>
      <c r="K242" s="17"/>
      <c r="L242" s="27" t="str">
        <f t="shared" si="5"/>
        <v/>
      </c>
    </row>
    <row r="243" spans="2:12" x14ac:dyDescent="0.2">
      <c r="B243" s="28"/>
      <c r="C243" s="16"/>
      <c r="D243" s="17"/>
      <c r="E243" s="17"/>
      <c r="F243" s="17"/>
      <c r="G243" s="17"/>
      <c r="H243" s="17"/>
      <c r="I243" s="17"/>
      <c r="J243" s="17"/>
      <c r="K243" s="17"/>
      <c r="L243" s="27" t="str">
        <f t="shared" si="5"/>
        <v/>
      </c>
    </row>
    <row r="244" spans="2:12" x14ac:dyDescent="0.2">
      <c r="B244" s="28"/>
      <c r="C244" s="16"/>
      <c r="D244" s="17"/>
      <c r="E244" s="17"/>
      <c r="F244" s="17"/>
      <c r="G244" s="17"/>
      <c r="H244" s="17"/>
      <c r="I244" s="17"/>
      <c r="J244" s="17"/>
      <c r="K244" s="17"/>
      <c r="L244" s="27" t="str">
        <f t="shared" si="5"/>
        <v/>
      </c>
    </row>
    <row r="245" spans="2:12" x14ac:dyDescent="0.2">
      <c r="B245" s="28"/>
      <c r="C245" s="16"/>
      <c r="D245" s="17"/>
      <c r="E245" s="17"/>
      <c r="F245" s="17"/>
      <c r="G245" s="17"/>
      <c r="H245" s="17"/>
      <c r="I245" s="17"/>
      <c r="J245" s="17"/>
      <c r="K245" s="17"/>
      <c r="L245" s="27" t="str">
        <f t="shared" si="5"/>
        <v/>
      </c>
    </row>
    <row r="246" spans="2:12" x14ac:dyDescent="0.2">
      <c r="B246" s="28"/>
      <c r="C246" s="16"/>
      <c r="D246" s="17"/>
      <c r="E246" s="17"/>
      <c r="F246" s="17"/>
      <c r="G246" s="17"/>
      <c r="H246" s="17"/>
      <c r="I246" s="17"/>
      <c r="J246" s="17"/>
      <c r="K246" s="17"/>
      <c r="L246" s="27" t="str">
        <f t="shared" si="5"/>
        <v/>
      </c>
    </row>
    <row r="247" spans="2:12" x14ac:dyDescent="0.2">
      <c r="B247" s="28"/>
      <c r="C247" s="16"/>
      <c r="D247" s="17"/>
      <c r="E247" s="17"/>
      <c r="F247" s="17"/>
      <c r="G247" s="17"/>
      <c r="H247" s="17"/>
      <c r="I247" s="17"/>
      <c r="J247" s="17"/>
      <c r="K247" s="17"/>
      <c r="L247" s="27" t="str">
        <f t="shared" si="5"/>
        <v/>
      </c>
    </row>
    <row r="248" spans="2:12" x14ac:dyDescent="0.2">
      <c r="B248" s="28"/>
      <c r="C248" s="16"/>
      <c r="D248" s="17"/>
      <c r="E248" s="17"/>
      <c r="F248" s="17"/>
      <c r="G248" s="17"/>
      <c r="H248" s="17"/>
      <c r="I248" s="17"/>
      <c r="J248" s="17"/>
      <c r="K248" s="17"/>
      <c r="L248" s="27" t="str">
        <f t="shared" si="5"/>
        <v/>
      </c>
    </row>
    <row r="249" spans="2:12" x14ac:dyDescent="0.2">
      <c r="B249" s="28"/>
      <c r="C249" s="16"/>
      <c r="D249" s="17"/>
      <c r="E249" s="17"/>
      <c r="F249" s="17"/>
      <c r="G249" s="17"/>
      <c r="H249" s="17"/>
      <c r="I249" s="17"/>
      <c r="J249" s="17"/>
      <c r="K249" s="17"/>
      <c r="L249" s="27" t="str">
        <f t="shared" si="5"/>
        <v/>
      </c>
    </row>
    <row r="250" spans="2:12" x14ac:dyDescent="0.2">
      <c r="B250" s="28"/>
      <c r="C250" s="16"/>
      <c r="D250" s="17"/>
      <c r="E250" s="17"/>
      <c r="F250" s="17"/>
      <c r="G250" s="17"/>
      <c r="H250" s="17"/>
      <c r="I250" s="17"/>
      <c r="J250" s="17"/>
      <c r="K250" s="17"/>
      <c r="L250" s="27" t="str">
        <f t="shared" si="5"/>
        <v/>
      </c>
    </row>
    <row r="251" spans="2:12" x14ac:dyDescent="0.2">
      <c r="B251" s="28"/>
      <c r="C251" s="16"/>
      <c r="D251" s="17"/>
      <c r="E251" s="17"/>
      <c r="F251" s="17"/>
      <c r="G251" s="17"/>
      <c r="H251" s="17"/>
      <c r="I251" s="17"/>
      <c r="J251" s="17"/>
      <c r="K251" s="17"/>
      <c r="L251" s="27" t="str">
        <f t="shared" si="5"/>
        <v/>
      </c>
    </row>
    <row r="252" spans="2:12" x14ac:dyDescent="0.2">
      <c r="B252" s="28"/>
      <c r="C252" s="16"/>
      <c r="D252" s="17"/>
      <c r="E252" s="17"/>
      <c r="F252" s="17"/>
      <c r="G252" s="17"/>
      <c r="H252" s="17"/>
      <c r="I252" s="17"/>
      <c r="J252" s="17"/>
      <c r="K252" s="17"/>
      <c r="L252" s="27" t="str">
        <f t="shared" si="5"/>
        <v/>
      </c>
    </row>
    <row r="253" spans="2:12" x14ac:dyDescent="0.2">
      <c r="B253" s="28"/>
      <c r="C253" s="16"/>
      <c r="D253" s="17"/>
      <c r="E253" s="17"/>
      <c r="F253" s="17"/>
      <c r="G253" s="17"/>
      <c r="H253" s="17"/>
      <c r="I253" s="17"/>
      <c r="J253" s="17"/>
      <c r="K253" s="17"/>
      <c r="L253" s="27" t="str">
        <f t="shared" si="5"/>
        <v/>
      </c>
    </row>
    <row r="254" spans="2:12" x14ac:dyDescent="0.2">
      <c r="B254" s="28"/>
      <c r="C254" s="16"/>
      <c r="D254" s="17"/>
      <c r="E254" s="17"/>
      <c r="F254" s="17"/>
      <c r="G254" s="17"/>
      <c r="H254" s="17"/>
      <c r="I254" s="17"/>
      <c r="J254" s="17"/>
      <c r="K254" s="17"/>
      <c r="L254" s="27" t="str">
        <f t="shared" si="5"/>
        <v/>
      </c>
    </row>
    <row r="255" spans="2:12" x14ac:dyDescent="0.2">
      <c r="B255" s="28"/>
      <c r="C255" s="16"/>
      <c r="D255" s="17"/>
      <c r="E255" s="17"/>
      <c r="F255" s="17"/>
      <c r="G255" s="17"/>
      <c r="H255" s="17"/>
      <c r="I255" s="17"/>
      <c r="J255" s="17"/>
      <c r="K255" s="17"/>
      <c r="L255" s="27" t="str">
        <f t="shared" si="5"/>
        <v/>
      </c>
    </row>
    <row r="256" spans="2:12" x14ac:dyDescent="0.2">
      <c r="B256" s="28"/>
      <c r="C256" s="16"/>
      <c r="D256" s="17"/>
      <c r="E256" s="17"/>
      <c r="F256" s="17"/>
      <c r="G256" s="17"/>
      <c r="H256" s="17"/>
      <c r="I256" s="17"/>
      <c r="J256" s="17"/>
      <c r="K256" s="17"/>
      <c r="L256" s="27" t="str">
        <f t="shared" si="5"/>
        <v/>
      </c>
    </row>
    <row r="257" spans="2:12" x14ac:dyDescent="0.2">
      <c r="B257" s="28"/>
      <c r="C257" s="16"/>
      <c r="D257" s="17"/>
      <c r="E257" s="17"/>
      <c r="F257" s="17"/>
      <c r="G257" s="17"/>
      <c r="H257" s="17"/>
      <c r="I257" s="17"/>
      <c r="J257" s="17"/>
      <c r="K257" s="17"/>
      <c r="L257" s="27" t="str">
        <f t="shared" si="5"/>
        <v/>
      </c>
    </row>
    <row r="258" spans="2:12" x14ac:dyDescent="0.2">
      <c r="B258" s="28"/>
      <c r="C258" s="16"/>
      <c r="D258" s="17"/>
      <c r="E258" s="17"/>
      <c r="F258" s="17"/>
      <c r="G258" s="17"/>
      <c r="H258" s="17"/>
      <c r="I258" s="17"/>
      <c r="J258" s="17"/>
      <c r="K258" s="17"/>
      <c r="L258" s="27" t="str">
        <f t="shared" si="5"/>
        <v/>
      </c>
    </row>
    <row r="259" spans="2:12" x14ac:dyDescent="0.2">
      <c r="B259" s="28"/>
      <c r="C259" s="16"/>
      <c r="D259" s="17"/>
      <c r="E259" s="17"/>
      <c r="F259" s="17"/>
      <c r="G259" s="17"/>
      <c r="H259" s="17"/>
      <c r="I259" s="17"/>
      <c r="J259" s="17"/>
      <c r="K259" s="17"/>
      <c r="L259" s="27" t="str">
        <f t="shared" si="5"/>
        <v/>
      </c>
    </row>
    <row r="260" spans="2:12" x14ac:dyDescent="0.2">
      <c r="B260" s="28"/>
      <c r="C260" s="16"/>
      <c r="D260" s="17"/>
      <c r="E260" s="17"/>
      <c r="F260" s="17"/>
      <c r="G260" s="17"/>
      <c r="H260" s="17"/>
      <c r="I260" s="17"/>
      <c r="J260" s="17"/>
      <c r="K260" s="17"/>
      <c r="L260" s="27" t="str">
        <f t="shared" si="5"/>
        <v/>
      </c>
    </row>
    <row r="261" spans="2:12" x14ac:dyDescent="0.2">
      <c r="B261" s="28"/>
      <c r="C261" s="16"/>
      <c r="D261" s="17"/>
      <c r="E261" s="17"/>
      <c r="F261" s="17"/>
      <c r="G261" s="17"/>
      <c r="H261" s="17"/>
      <c r="I261" s="17"/>
      <c r="J261" s="17"/>
      <c r="K261" s="17"/>
      <c r="L261" s="27" t="str">
        <f t="shared" si="5"/>
        <v/>
      </c>
    </row>
    <row r="262" spans="2:12" x14ac:dyDescent="0.2">
      <c r="B262" s="28"/>
      <c r="C262" s="16"/>
      <c r="D262" s="17"/>
      <c r="E262" s="17"/>
      <c r="F262" s="17"/>
      <c r="G262" s="17"/>
      <c r="H262" s="17"/>
      <c r="I262" s="17"/>
      <c r="J262" s="17"/>
      <c r="K262" s="17"/>
      <c r="L262" s="27" t="str">
        <f t="shared" si="5"/>
        <v/>
      </c>
    </row>
    <row r="263" spans="2:12" x14ac:dyDescent="0.2">
      <c r="B263" s="28"/>
      <c r="C263" s="16"/>
      <c r="D263" s="17"/>
      <c r="E263" s="17"/>
      <c r="F263" s="17"/>
      <c r="G263" s="17"/>
      <c r="H263" s="17"/>
      <c r="I263" s="17"/>
      <c r="J263" s="17"/>
      <c r="K263" s="17"/>
      <c r="L263" s="27" t="str">
        <f t="shared" si="5"/>
        <v/>
      </c>
    </row>
    <row r="264" spans="2:12" x14ac:dyDescent="0.2">
      <c r="B264" s="28"/>
      <c r="C264" s="16"/>
      <c r="D264" s="17"/>
      <c r="E264" s="17"/>
      <c r="F264" s="17"/>
      <c r="G264" s="17"/>
      <c r="H264" s="17"/>
      <c r="I264" s="17"/>
      <c r="J264" s="17"/>
      <c r="K264" s="17"/>
      <c r="L264" s="27" t="str">
        <f t="shared" si="5"/>
        <v/>
      </c>
    </row>
    <row r="265" spans="2:12" x14ac:dyDescent="0.2">
      <c r="B265" s="28"/>
      <c r="C265" s="16"/>
      <c r="D265" s="17"/>
      <c r="E265" s="17"/>
      <c r="F265" s="17"/>
      <c r="G265" s="17"/>
      <c r="H265" s="17"/>
      <c r="I265" s="17"/>
      <c r="J265" s="17"/>
      <c r="K265" s="17"/>
      <c r="L265" s="27" t="str">
        <f t="shared" si="5"/>
        <v/>
      </c>
    </row>
    <row r="266" spans="2:12" x14ac:dyDescent="0.2">
      <c r="B266" s="28"/>
      <c r="C266" s="16"/>
      <c r="D266" s="17"/>
      <c r="E266" s="17"/>
      <c r="F266" s="17"/>
      <c r="G266" s="17"/>
      <c r="H266" s="17"/>
      <c r="I266" s="17"/>
      <c r="J266" s="17"/>
      <c r="K266" s="17"/>
      <c r="L266" s="27" t="str">
        <f t="shared" si="5"/>
        <v/>
      </c>
    </row>
    <row r="267" spans="2:12" x14ac:dyDescent="0.2">
      <c r="B267" s="28"/>
      <c r="C267" s="16"/>
      <c r="D267" s="17"/>
      <c r="E267" s="17"/>
      <c r="F267" s="17"/>
      <c r="G267" s="17"/>
      <c r="H267" s="17"/>
      <c r="I267" s="17"/>
      <c r="J267" s="17"/>
      <c r="K267" s="17"/>
      <c r="L267" s="27" t="str">
        <f t="shared" si="5"/>
        <v/>
      </c>
    </row>
    <row r="268" spans="2:12" x14ac:dyDescent="0.2">
      <c r="B268" s="28"/>
      <c r="C268" s="16"/>
      <c r="D268" s="17"/>
      <c r="E268" s="17"/>
      <c r="F268" s="17"/>
      <c r="G268" s="17"/>
      <c r="H268" s="17"/>
      <c r="I268" s="17"/>
      <c r="J268" s="17"/>
      <c r="K268" s="17"/>
      <c r="L268" s="27" t="str">
        <f t="shared" si="5"/>
        <v/>
      </c>
    </row>
    <row r="269" spans="2:12" x14ac:dyDescent="0.2">
      <c r="B269" s="28"/>
      <c r="C269" s="16"/>
      <c r="D269" s="17"/>
      <c r="E269" s="17"/>
      <c r="F269" s="17"/>
      <c r="G269" s="17"/>
      <c r="H269" s="17"/>
      <c r="I269" s="17"/>
      <c r="J269" s="17"/>
      <c r="K269" s="17"/>
      <c r="L269" s="27" t="str">
        <f t="shared" ref="L269:L332" si="6">IF(B269=$K$9*12,J269/$D$9,"")</f>
        <v/>
      </c>
    </row>
    <row r="270" spans="2:12" x14ac:dyDescent="0.2">
      <c r="B270" s="28"/>
      <c r="C270" s="16"/>
      <c r="D270" s="17"/>
      <c r="E270" s="17"/>
      <c r="F270" s="17"/>
      <c r="G270" s="17"/>
      <c r="H270" s="17"/>
      <c r="I270" s="17"/>
      <c r="J270" s="17"/>
      <c r="K270" s="17"/>
      <c r="L270" s="27" t="str">
        <f t="shared" si="6"/>
        <v/>
      </c>
    </row>
    <row r="271" spans="2:12" x14ac:dyDescent="0.2">
      <c r="B271" s="28"/>
      <c r="C271" s="16"/>
      <c r="D271" s="17"/>
      <c r="E271" s="17"/>
      <c r="F271" s="17"/>
      <c r="G271" s="17"/>
      <c r="H271" s="17"/>
      <c r="I271" s="17"/>
      <c r="J271" s="17"/>
      <c r="K271" s="17"/>
      <c r="L271" s="27" t="str">
        <f t="shared" si="6"/>
        <v/>
      </c>
    </row>
    <row r="272" spans="2:12" x14ac:dyDescent="0.2">
      <c r="B272" s="28"/>
      <c r="C272" s="16"/>
      <c r="D272" s="17"/>
      <c r="E272" s="17"/>
      <c r="F272" s="17"/>
      <c r="G272" s="17"/>
      <c r="H272" s="17"/>
      <c r="I272" s="17"/>
      <c r="J272" s="17"/>
      <c r="K272" s="17"/>
      <c r="L272" s="27" t="str">
        <f t="shared" si="6"/>
        <v/>
      </c>
    </row>
    <row r="273" spans="2:12" x14ac:dyDescent="0.2">
      <c r="B273" s="28"/>
      <c r="C273" s="16"/>
      <c r="D273" s="17"/>
      <c r="E273" s="17"/>
      <c r="F273" s="17"/>
      <c r="G273" s="17"/>
      <c r="H273" s="17"/>
      <c r="I273" s="17"/>
      <c r="J273" s="17"/>
      <c r="K273" s="17"/>
      <c r="L273" s="27" t="str">
        <f t="shared" si="6"/>
        <v/>
      </c>
    </row>
    <row r="274" spans="2:12" x14ac:dyDescent="0.2">
      <c r="B274" s="28"/>
      <c r="C274" s="16"/>
      <c r="D274" s="17"/>
      <c r="E274" s="17"/>
      <c r="F274" s="17"/>
      <c r="G274" s="17"/>
      <c r="H274" s="17"/>
      <c r="I274" s="17"/>
      <c r="J274" s="17"/>
      <c r="K274" s="17"/>
      <c r="L274" s="27" t="str">
        <f t="shared" si="6"/>
        <v/>
      </c>
    </row>
    <row r="275" spans="2:12" x14ac:dyDescent="0.2">
      <c r="B275" s="28"/>
      <c r="C275" s="16"/>
      <c r="D275" s="17"/>
      <c r="E275" s="17"/>
      <c r="F275" s="17"/>
      <c r="G275" s="17"/>
      <c r="H275" s="17"/>
      <c r="I275" s="17"/>
      <c r="J275" s="17"/>
      <c r="K275" s="17"/>
      <c r="L275" s="27" t="str">
        <f t="shared" si="6"/>
        <v/>
      </c>
    </row>
    <row r="276" spans="2:12" x14ac:dyDescent="0.2">
      <c r="B276" s="28"/>
      <c r="C276" s="16"/>
      <c r="D276" s="17"/>
      <c r="E276" s="17"/>
      <c r="F276" s="17"/>
      <c r="G276" s="17"/>
      <c r="H276" s="17"/>
      <c r="I276" s="17"/>
      <c r="J276" s="17"/>
      <c r="K276" s="17"/>
      <c r="L276" s="27" t="str">
        <f t="shared" si="6"/>
        <v/>
      </c>
    </row>
    <row r="277" spans="2:12" x14ac:dyDescent="0.2">
      <c r="B277" s="28"/>
      <c r="C277" s="16"/>
      <c r="D277" s="17"/>
      <c r="E277" s="17"/>
      <c r="F277" s="17"/>
      <c r="G277" s="17"/>
      <c r="H277" s="17"/>
      <c r="I277" s="17"/>
      <c r="J277" s="17"/>
      <c r="K277" s="17"/>
      <c r="L277" s="27" t="str">
        <f t="shared" si="6"/>
        <v/>
      </c>
    </row>
    <row r="278" spans="2:12" x14ac:dyDescent="0.2">
      <c r="B278" s="28"/>
      <c r="C278" s="16"/>
      <c r="D278" s="17"/>
      <c r="E278" s="17"/>
      <c r="F278" s="17"/>
      <c r="G278" s="17"/>
      <c r="H278" s="17"/>
      <c r="I278" s="17"/>
      <c r="J278" s="17"/>
      <c r="K278" s="17"/>
      <c r="L278" s="27" t="str">
        <f t="shared" si="6"/>
        <v/>
      </c>
    </row>
    <row r="279" spans="2:12" x14ac:dyDescent="0.2">
      <c r="B279" s="28"/>
      <c r="C279" s="16"/>
      <c r="D279" s="17"/>
      <c r="E279" s="17"/>
      <c r="F279" s="17"/>
      <c r="G279" s="17"/>
      <c r="H279" s="17"/>
      <c r="I279" s="17"/>
      <c r="J279" s="17"/>
      <c r="K279" s="17"/>
      <c r="L279" s="27" t="str">
        <f t="shared" si="6"/>
        <v/>
      </c>
    </row>
    <row r="280" spans="2:12" x14ac:dyDescent="0.2">
      <c r="B280" s="28"/>
      <c r="C280" s="16"/>
      <c r="D280" s="17"/>
      <c r="E280" s="17"/>
      <c r="F280" s="17"/>
      <c r="G280" s="17"/>
      <c r="H280" s="17"/>
      <c r="I280" s="17"/>
      <c r="J280" s="17"/>
      <c r="K280" s="17"/>
      <c r="L280" s="27" t="str">
        <f t="shared" si="6"/>
        <v/>
      </c>
    </row>
    <row r="281" spans="2:12" x14ac:dyDescent="0.2">
      <c r="B281" s="28"/>
      <c r="C281" s="16"/>
      <c r="D281" s="17"/>
      <c r="E281" s="17"/>
      <c r="F281" s="17"/>
      <c r="G281" s="17"/>
      <c r="H281" s="17"/>
      <c r="I281" s="17"/>
      <c r="J281" s="17"/>
      <c r="K281" s="17"/>
      <c r="L281" s="27" t="str">
        <f t="shared" si="6"/>
        <v/>
      </c>
    </row>
    <row r="282" spans="2:12" x14ac:dyDescent="0.2">
      <c r="B282" s="28"/>
      <c r="C282" s="16"/>
      <c r="D282" s="17"/>
      <c r="E282" s="17"/>
      <c r="F282" s="17"/>
      <c r="G282" s="17"/>
      <c r="H282" s="17"/>
      <c r="I282" s="17"/>
      <c r="J282" s="17"/>
      <c r="K282" s="17"/>
      <c r="L282" s="27" t="str">
        <f t="shared" si="6"/>
        <v/>
      </c>
    </row>
    <row r="283" spans="2:12" x14ac:dyDescent="0.2">
      <c r="B283" s="28"/>
      <c r="C283" s="16"/>
      <c r="D283" s="17"/>
      <c r="E283" s="17"/>
      <c r="F283" s="17"/>
      <c r="G283" s="17"/>
      <c r="H283" s="17"/>
      <c r="I283" s="17"/>
      <c r="J283" s="17"/>
      <c r="K283" s="17"/>
      <c r="L283" s="27" t="str">
        <f t="shared" si="6"/>
        <v/>
      </c>
    </row>
    <row r="284" spans="2:12" x14ac:dyDescent="0.2">
      <c r="B284" s="28"/>
      <c r="C284" s="16"/>
      <c r="D284" s="17"/>
      <c r="E284" s="17"/>
      <c r="F284" s="17"/>
      <c r="G284" s="17"/>
      <c r="H284" s="17"/>
      <c r="I284" s="17"/>
      <c r="J284" s="17"/>
      <c r="K284" s="17"/>
      <c r="L284" s="27" t="str">
        <f t="shared" si="6"/>
        <v/>
      </c>
    </row>
    <row r="285" spans="2:12" x14ac:dyDescent="0.2">
      <c r="B285" s="28"/>
      <c r="C285" s="16"/>
      <c r="D285" s="17"/>
      <c r="E285" s="17"/>
      <c r="F285" s="17"/>
      <c r="G285" s="17"/>
      <c r="H285" s="17"/>
      <c r="I285" s="17"/>
      <c r="J285" s="17"/>
      <c r="K285" s="17"/>
      <c r="L285" s="27" t="str">
        <f t="shared" si="6"/>
        <v/>
      </c>
    </row>
    <row r="286" spans="2:12" x14ac:dyDescent="0.2">
      <c r="B286" s="28"/>
      <c r="C286" s="16"/>
      <c r="D286" s="17"/>
      <c r="E286" s="17"/>
      <c r="F286" s="17"/>
      <c r="G286" s="17"/>
      <c r="H286" s="17"/>
      <c r="I286" s="17"/>
      <c r="J286" s="17"/>
      <c r="K286" s="17"/>
      <c r="L286" s="27" t="str">
        <f t="shared" si="6"/>
        <v/>
      </c>
    </row>
    <row r="287" spans="2:12" x14ac:dyDescent="0.2">
      <c r="B287" s="28"/>
      <c r="C287" s="16"/>
      <c r="D287" s="17"/>
      <c r="E287" s="17"/>
      <c r="F287" s="17"/>
      <c r="G287" s="17"/>
      <c r="H287" s="17"/>
      <c r="I287" s="17"/>
      <c r="J287" s="17"/>
      <c r="K287" s="17"/>
      <c r="L287" s="27" t="str">
        <f t="shared" si="6"/>
        <v/>
      </c>
    </row>
    <row r="288" spans="2:12" x14ac:dyDescent="0.2">
      <c r="B288" s="28"/>
      <c r="C288" s="16"/>
      <c r="D288" s="17"/>
      <c r="E288" s="17"/>
      <c r="F288" s="17"/>
      <c r="G288" s="17"/>
      <c r="H288" s="17"/>
      <c r="I288" s="17"/>
      <c r="J288" s="17"/>
      <c r="K288" s="17"/>
      <c r="L288" s="27" t="str">
        <f t="shared" si="6"/>
        <v/>
      </c>
    </row>
    <row r="289" spans="2:12" x14ac:dyDescent="0.2">
      <c r="B289" s="28"/>
      <c r="C289" s="16"/>
      <c r="D289" s="17"/>
      <c r="E289" s="17"/>
      <c r="F289" s="17"/>
      <c r="G289" s="17"/>
      <c r="H289" s="17"/>
      <c r="I289" s="17"/>
      <c r="J289" s="17"/>
      <c r="K289" s="17"/>
      <c r="L289" s="27" t="str">
        <f t="shared" si="6"/>
        <v/>
      </c>
    </row>
    <row r="290" spans="2:12" x14ac:dyDescent="0.2">
      <c r="B290" s="28"/>
      <c r="C290" s="16"/>
      <c r="D290" s="17"/>
      <c r="E290" s="17"/>
      <c r="F290" s="17"/>
      <c r="G290" s="17"/>
      <c r="H290" s="17"/>
      <c r="I290" s="17"/>
      <c r="J290" s="17"/>
      <c r="K290" s="17"/>
      <c r="L290" s="27" t="str">
        <f t="shared" si="6"/>
        <v/>
      </c>
    </row>
    <row r="291" spans="2:12" x14ac:dyDescent="0.2">
      <c r="B291" s="28"/>
      <c r="C291" s="16"/>
      <c r="D291" s="17"/>
      <c r="E291" s="17"/>
      <c r="F291" s="17"/>
      <c r="G291" s="17"/>
      <c r="H291" s="17"/>
      <c r="I291" s="17"/>
      <c r="J291" s="17"/>
      <c r="K291" s="17"/>
      <c r="L291" s="27" t="str">
        <f t="shared" si="6"/>
        <v/>
      </c>
    </row>
    <row r="292" spans="2:12" x14ac:dyDescent="0.2">
      <c r="B292" s="28"/>
      <c r="C292" s="16"/>
      <c r="D292" s="17"/>
      <c r="E292" s="17"/>
      <c r="F292" s="17"/>
      <c r="G292" s="17"/>
      <c r="H292" s="17"/>
      <c r="I292" s="17"/>
      <c r="J292" s="17"/>
      <c r="K292" s="17"/>
      <c r="L292" s="27" t="str">
        <f t="shared" si="6"/>
        <v/>
      </c>
    </row>
    <row r="293" spans="2:12" x14ac:dyDescent="0.2">
      <c r="B293" s="28"/>
      <c r="C293" s="16"/>
      <c r="D293" s="17"/>
      <c r="E293" s="17"/>
      <c r="F293" s="17"/>
      <c r="G293" s="17"/>
      <c r="H293" s="17"/>
      <c r="I293" s="17"/>
      <c r="J293" s="17"/>
      <c r="K293" s="17"/>
      <c r="L293" s="27" t="str">
        <f t="shared" si="6"/>
        <v/>
      </c>
    </row>
    <row r="294" spans="2:12" x14ac:dyDescent="0.2">
      <c r="B294" s="28"/>
      <c r="C294" s="16"/>
      <c r="D294" s="17"/>
      <c r="E294" s="17"/>
      <c r="F294" s="17"/>
      <c r="G294" s="17"/>
      <c r="H294" s="17"/>
      <c r="I294" s="17"/>
      <c r="J294" s="17"/>
      <c r="K294" s="17"/>
      <c r="L294" s="27" t="str">
        <f t="shared" si="6"/>
        <v/>
      </c>
    </row>
    <row r="295" spans="2:12" x14ac:dyDescent="0.2">
      <c r="B295" s="28"/>
      <c r="C295" s="16"/>
      <c r="D295" s="17"/>
      <c r="E295" s="17"/>
      <c r="F295" s="17"/>
      <c r="G295" s="17"/>
      <c r="H295" s="17"/>
      <c r="I295" s="17"/>
      <c r="J295" s="17"/>
      <c r="K295" s="17"/>
      <c r="L295" s="27" t="str">
        <f t="shared" si="6"/>
        <v/>
      </c>
    </row>
    <row r="296" spans="2:12" x14ac:dyDescent="0.2">
      <c r="B296" s="28"/>
      <c r="C296" s="16"/>
      <c r="D296" s="17"/>
      <c r="E296" s="17"/>
      <c r="F296" s="17"/>
      <c r="G296" s="17"/>
      <c r="H296" s="17"/>
      <c r="I296" s="17"/>
      <c r="J296" s="17"/>
      <c r="K296" s="17"/>
      <c r="L296" s="27" t="str">
        <f t="shared" si="6"/>
        <v/>
      </c>
    </row>
    <row r="297" spans="2:12" x14ac:dyDescent="0.2">
      <c r="B297" s="28"/>
      <c r="C297" s="16"/>
      <c r="D297" s="17"/>
      <c r="E297" s="17"/>
      <c r="F297" s="17"/>
      <c r="G297" s="17"/>
      <c r="H297" s="17"/>
      <c r="I297" s="17"/>
      <c r="J297" s="17"/>
      <c r="K297" s="17"/>
      <c r="L297" s="27" t="str">
        <f t="shared" si="6"/>
        <v/>
      </c>
    </row>
    <row r="298" spans="2:12" x14ac:dyDescent="0.2">
      <c r="B298" s="28"/>
      <c r="C298" s="16"/>
      <c r="D298" s="17"/>
      <c r="E298" s="17"/>
      <c r="F298" s="17"/>
      <c r="G298" s="17"/>
      <c r="H298" s="17"/>
      <c r="I298" s="17"/>
      <c r="J298" s="17"/>
      <c r="K298" s="17"/>
      <c r="L298" s="27" t="str">
        <f t="shared" si="6"/>
        <v/>
      </c>
    </row>
    <row r="299" spans="2:12" x14ac:dyDescent="0.2">
      <c r="B299" s="28"/>
      <c r="C299" s="16"/>
      <c r="D299" s="17"/>
      <c r="E299" s="17"/>
      <c r="F299" s="17"/>
      <c r="G299" s="17"/>
      <c r="H299" s="17"/>
      <c r="I299" s="17"/>
      <c r="J299" s="17"/>
      <c r="K299" s="17"/>
      <c r="L299" s="27" t="str">
        <f t="shared" si="6"/>
        <v/>
      </c>
    </row>
    <row r="300" spans="2:12" x14ac:dyDescent="0.2">
      <c r="B300" s="28"/>
      <c r="C300" s="16"/>
      <c r="D300" s="17"/>
      <c r="E300" s="17"/>
      <c r="F300" s="17"/>
      <c r="G300" s="17"/>
      <c r="H300" s="17"/>
      <c r="I300" s="17"/>
      <c r="J300" s="17"/>
      <c r="K300" s="17"/>
      <c r="L300" s="27" t="str">
        <f t="shared" si="6"/>
        <v/>
      </c>
    </row>
    <row r="301" spans="2:12" x14ac:dyDescent="0.2">
      <c r="B301" s="28"/>
      <c r="C301" s="16"/>
      <c r="D301" s="17"/>
      <c r="E301" s="17"/>
      <c r="F301" s="17"/>
      <c r="G301" s="17"/>
      <c r="H301" s="17"/>
      <c r="I301" s="17"/>
      <c r="J301" s="17"/>
      <c r="K301" s="17"/>
      <c r="L301" s="27" t="str">
        <f t="shared" si="6"/>
        <v/>
      </c>
    </row>
    <row r="302" spans="2:12" x14ac:dyDescent="0.2">
      <c r="B302" s="28"/>
      <c r="C302" s="16"/>
      <c r="D302" s="17"/>
      <c r="E302" s="17"/>
      <c r="F302" s="17"/>
      <c r="G302" s="17"/>
      <c r="H302" s="17"/>
      <c r="I302" s="17"/>
      <c r="J302" s="17"/>
      <c r="K302" s="17"/>
      <c r="L302" s="27" t="str">
        <f t="shared" si="6"/>
        <v/>
      </c>
    </row>
    <row r="303" spans="2:12" x14ac:dyDescent="0.2">
      <c r="B303" s="28"/>
      <c r="C303" s="16"/>
      <c r="D303" s="17"/>
      <c r="E303" s="17"/>
      <c r="F303" s="17"/>
      <c r="G303" s="17"/>
      <c r="H303" s="17"/>
      <c r="I303" s="17"/>
      <c r="J303" s="17"/>
      <c r="K303" s="17"/>
      <c r="L303" s="27" t="str">
        <f t="shared" si="6"/>
        <v/>
      </c>
    </row>
    <row r="304" spans="2:12" x14ac:dyDescent="0.2">
      <c r="B304" s="28"/>
      <c r="C304" s="16"/>
      <c r="D304" s="17"/>
      <c r="E304" s="17"/>
      <c r="F304" s="17"/>
      <c r="G304" s="17"/>
      <c r="H304" s="17"/>
      <c r="I304" s="17"/>
      <c r="J304" s="17"/>
      <c r="K304" s="17"/>
      <c r="L304" s="27" t="str">
        <f t="shared" si="6"/>
        <v/>
      </c>
    </row>
    <row r="305" spans="2:12" x14ac:dyDescent="0.2">
      <c r="B305" s="28"/>
      <c r="C305" s="16"/>
      <c r="D305" s="17"/>
      <c r="E305" s="17"/>
      <c r="F305" s="17"/>
      <c r="G305" s="17"/>
      <c r="H305" s="17"/>
      <c r="I305" s="17"/>
      <c r="J305" s="17"/>
      <c r="K305" s="17"/>
      <c r="L305" s="27" t="str">
        <f t="shared" si="6"/>
        <v/>
      </c>
    </row>
    <row r="306" spans="2:12" x14ac:dyDescent="0.2">
      <c r="B306" s="28"/>
      <c r="C306" s="16"/>
      <c r="D306" s="17"/>
      <c r="E306" s="17"/>
      <c r="F306" s="17"/>
      <c r="G306" s="17"/>
      <c r="H306" s="17"/>
      <c r="I306" s="17"/>
      <c r="J306" s="17"/>
      <c r="K306" s="17"/>
      <c r="L306" s="27" t="str">
        <f t="shared" si="6"/>
        <v/>
      </c>
    </row>
    <row r="307" spans="2:12" x14ac:dyDescent="0.2">
      <c r="B307" s="28"/>
      <c r="C307" s="16"/>
      <c r="D307" s="17"/>
      <c r="E307" s="17"/>
      <c r="F307" s="17"/>
      <c r="G307" s="17"/>
      <c r="H307" s="17"/>
      <c r="I307" s="17"/>
      <c r="J307" s="17"/>
      <c r="K307" s="17"/>
      <c r="L307" s="27" t="str">
        <f t="shared" si="6"/>
        <v/>
      </c>
    </row>
    <row r="308" spans="2:12" x14ac:dyDescent="0.2">
      <c r="B308" s="28"/>
      <c r="C308" s="16"/>
      <c r="D308" s="17"/>
      <c r="E308" s="17"/>
      <c r="F308" s="17"/>
      <c r="G308" s="17"/>
      <c r="H308" s="17"/>
      <c r="I308" s="17"/>
      <c r="J308" s="17"/>
      <c r="K308" s="17"/>
      <c r="L308" s="27" t="str">
        <f t="shared" si="6"/>
        <v/>
      </c>
    </row>
    <row r="309" spans="2:12" x14ac:dyDescent="0.2">
      <c r="B309" s="28"/>
      <c r="C309" s="16"/>
      <c r="D309" s="17"/>
      <c r="E309" s="17"/>
      <c r="F309" s="17"/>
      <c r="G309" s="17"/>
      <c r="H309" s="17"/>
      <c r="I309" s="17"/>
      <c r="J309" s="17"/>
      <c r="K309" s="17"/>
      <c r="L309" s="27" t="str">
        <f t="shared" si="6"/>
        <v/>
      </c>
    </row>
    <row r="310" spans="2:12" x14ac:dyDescent="0.2">
      <c r="B310" s="28"/>
      <c r="C310" s="16"/>
      <c r="D310" s="17"/>
      <c r="E310" s="17"/>
      <c r="F310" s="17"/>
      <c r="G310" s="17"/>
      <c r="H310" s="17"/>
      <c r="I310" s="17"/>
      <c r="J310" s="17"/>
      <c r="K310" s="17"/>
      <c r="L310" s="27" t="str">
        <f t="shared" si="6"/>
        <v/>
      </c>
    </row>
    <row r="311" spans="2:12" x14ac:dyDescent="0.2">
      <c r="B311" s="28"/>
      <c r="C311" s="16"/>
      <c r="D311" s="17"/>
      <c r="E311" s="17"/>
      <c r="F311" s="17"/>
      <c r="G311" s="17"/>
      <c r="H311" s="17"/>
      <c r="I311" s="17"/>
      <c r="J311" s="17"/>
      <c r="K311" s="17"/>
      <c r="L311" s="27" t="str">
        <f t="shared" si="6"/>
        <v/>
      </c>
    </row>
    <row r="312" spans="2:12" x14ac:dyDescent="0.2">
      <c r="B312" s="28"/>
      <c r="C312" s="16"/>
      <c r="D312" s="17"/>
      <c r="E312" s="17"/>
      <c r="F312" s="17"/>
      <c r="G312" s="17"/>
      <c r="H312" s="17"/>
      <c r="I312" s="17"/>
      <c r="J312" s="17"/>
      <c r="K312" s="17"/>
      <c r="L312" s="27" t="str">
        <f t="shared" si="6"/>
        <v/>
      </c>
    </row>
    <row r="313" spans="2:12" x14ac:dyDescent="0.2">
      <c r="B313" s="28"/>
      <c r="C313" s="16"/>
      <c r="D313" s="17"/>
      <c r="E313" s="17"/>
      <c r="F313" s="17"/>
      <c r="G313" s="17"/>
      <c r="H313" s="17"/>
      <c r="I313" s="17"/>
      <c r="J313" s="17"/>
      <c r="K313" s="17"/>
      <c r="L313" s="27" t="str">
        <f t="shared" si="6"/>
        <v/>
      </c>
    </row>
    <row r="314" spans="2:12" x14ac:dyDescent="0.2">
      <c r="B314" s="28"/>
      <c r="C314" s="16"/>
      <c r="D314" s="17"/>
      <c r="E314" s="17"/>
      <c r="F314" s="17"/>
      <c r="G314" s="17"/>
      <c r="H314" s="17"/>
      <c r="I314" s="17"/>
      <c r="J314" s="17"/>
      <c r="K314" s="17"/>
      <c r="L314" s="27" t="str">
        <f t="shared" si="6"/>
        <v/>
      </c>
    </row>
    <row r="315" spans="2:12" x14ac:dyDescent="0.2">
      <c r="B315" s="28"/>
      <c r="C315" s="16"/>
      <c r="D315" s="17"/>
      <c r="E315" s="17"/>
      <c r="F315" s="17"/>
      <c r="G315" s="17"/>
      <c r="H315" s="17"/>
      <c r="I315" s="17"/>
      <c r="J315" s="17"/>
      <c r="K315" s="17"/>
      <c r="L315" s="27" t="str">
        <f t="shared" si="6"/>
        <v/>
      </c>
    </row>
    <row r="316" spans="2:12" x14ac:dyDescent="0.2">
      <c r="B316" s="28"/>
      <c r="C316" s="16"/>
      <c r="D316" s="17"/>
      <c r="E316" s="17"/>
      <c r="F316" s="17"/>
      <c r="G316" s="17"/>
      <c r="H316" s="17"/>
      <c r="I316" s="17"/>
      <c r="J316" s="17"/>
      <c r="K316" s="17"/>
      <c r="L316" s="27" t="str">
        <f t="shared" si="6"/>
        <v/>
      </c>
    </row>
    <row r="317" spans="2:12" x14ac:dyDescent="0.2">
      <c r="B317" s="28"/>
      <c r="C317" s="16"/>
      <c r="D317" s="17"/>
      <c r="E317" s="17"/>
      <c r="F317" s="17"/>
      <c r="G317" s="17"/>
      <c r="H317" s="17"/>
      <c r="I317" s="17"/>
      <c r="J317" s="17"/>
      <c r="K317" s="17"/>
      <c r="L317" s="27" t="str">
        <f t="shared" si="6"/>
        <v/>
      </c>
    </row>
    <row r="318" spans="2:12" x14ac:dyDescent="0.2">
      <c r="B318" s="28"/>
      <c r="C318" s="16"/>
      <c r="D318" s="17"/>
      <c r="E318" s="17"/>
      <c r="F318" s="17"/>
      <c r="G318" s="17"/>
      <c r="H318" s="17"/>
      <c r="I318" s="17"/>
      <c r="J318" s="17"/>
      <c r="K318" s="17"/>
      <c r="L318" s="27" t="str">
        <f t="shared" si="6"/>
        <v/>
      </c>
    </row>
    <row r="319" spans="2:12" x14ac:dyDescent="0.2">
      <c r="B319" s="28"/>
      <c r="C319" s="16"/>
      <c r="D319" s="17"/>
      <c r="E319" s="17"/>
      <c r="F319" s="17"/>
      <c r="G319" s="17"/>
      <c r="H319" s="17"/>
      <c r="I319" s="17"/>
      <c r="J319" s="17"/>
      <c r="K319" s="17"/>
      <c r="L319" s="27" t="str">
        <f t="shared" si="6"/>
        <v/>
      </c>
    </row>
    <row r="320" spans="2:12" x14ac:dyDescent="0.2">
      <c r="B320" s="28"/>
      <c r="C320" s="16"/>
      <c r="D320" s="17"/>
      <c r="E320" s="17"/>
      <c r="F320" s="17"/>
      <c r="G320" s="17"/>
      <c r="H320" s="17"/>
      <c r="I320" s="17"/>
      <c r="J320" s="17"/>
      <c r="K320" s="17"/>
      <c r="L320" s="27" t="str">
        <f t="shared" si="6"/>
        <v/>
      </c>
    </row>
    <row r="321" spans="2:12" x14ac:dyDescent="0.2">
      <c r="B321" s="28"/>
      <c r="C321" s="16"/>
      <c r="D321" s="17"/>
      <c r="E321" s="17"/>
      <c r="F321" s="17"/>
      <c r="G321" s="17"/>
      <c r="H321" s="17"/>
      <c r="I321" s="17"/>
      <c r="J321" s="17"/>
      <c r="K321" s="17"/>
      <c r="L321" s="27" t="str">
        <f t="shared" si="6"/>
        <v/>
      </c>
    </row>
    <row r="322" spans="2:12" x14ac:dyDescent="0.2">
      <c r="B322" s="28"/>
      <c r="C322" s="16"/>
      <c r="D322" s="17"/>
      <c r="E322" s="17"/>
      <c r="F322" s="17"/>
      <c r="G322" s="17"/>
      <c r="H322" s="17"/>
      <c r="I322" s="17"/>
      <c r="J322" s="17"/>
      <c r="K322" s="17"/>
      <c r="L322" s="27" t="str">
        <f t="shared" si="6"/>
        <v/>
      </c>
    </row>
    <row r="323" spans="2:12" x14ac:dyDescent="0.2">
      <c r="B323" s="28"/>
      <c r="C323" s="16"/>
      <c r="D323" s="17"/>
      <c r="E323" s="17"/>
      <c r="F323" s="17"/>
      <c r="G323" s="17"/>
      <c r="H323" s="17"/>
      <c r="I323" s="17"/>
      <c r="J323" s="17"/>
      <c r="K323" s="17"/>
      <c r="L323" s="27" t="str">
        <f t="shared" si="6"/>
        <v/>
      </c>
    </row>
    <row r="324" spans="2:12" x14ac:dyDescent="0.2">
      <c r="B324" s="28"/>
      <c r="C324" s="16"/>
      <c r="D324" s="17"/>
      <c r="E324" s="17"/>
      <c r="F324" s="17"/>
      <c r="G324" s="17"/>
      <c r="H324" s="17"/>
      <c r="I324" s="17"/>
      <c r="J324" s="17"/>
      <c r="K324" s="17"/>
      <c r="L324" s="27" t="str">
        <f t="shared" si="6"/>
        <v/>
      </c>
    </row>
    <row r="325" spans="2:12" x14ac:dyDescent="0.2">
      <c r="B325" s="28"/>
      <c r="C325" s="16"/>
      <c r="D325" s="17"/>
      <c r="E325" s="17"/>
      <c r="F325" s="17"/>
      <c r="G325" s="17"/>
      <c r="H325" s="17"/>
      <c r="I325" s="17"/>
      <c r="J325" s="17"/>
      <c r="K325" s="17"/>
      <c r="L325" s="27" t="str">
        <f t="shared" si="6"/>
        <v/>
      </c>
    </row>
    <row r="326" spans="2:12" x14ac:dyDescent="0.2">
      <c r="B326" s="28"/>
      <c r="C326" s="16"/>
      <c r="D326" s="17"/>
      <c r="E326" s="17"/>
      <c r="F326" s="17"/>
      <c r="G326" s="17"/>
      <c r="H326" s="17"/>
      <c r="I326" s="17"/>
      <c r="J326" s="17"/>
      <c r="K326" s="17"/>
      <c r="L326" s="27" t="str">
        <f t="shared" si="6"/>
        <v/>
      </c>
    </row>
    <row r="327" spans="2:12" x14ac:dyDescent="0.2">
      <c r="B327" s="28"/>
      <c r="C327" s="16"/>
      <c r="D327" s="17"/>
      <c r="E327" s="17"/>
      <c r="F327" s="17"/>
      <c r="G327" s="17"/>
      <c r="H327" s="17"/>
      <c r="I327" s="17"/>
      <c r="J327" s="17"/>
      <c r="K327" s="17"/>
      <c r="L327" s="27" t="str">
        <f t="shared" si="6"/>
        <v/>
      </c>
    </row>
    <row r="328" spans="2:12" x14ac:dyDescent="0.2">
      <c r="B328" s="28"/>
      <c r="C328" s="16"/>
      <c r="D328" s="17"/>
      <c r="E328" s="17"/>
      <c r="F328" s="17"/>
      <c r="G328" s="17"/>
      <c r="H328" s="17"/>
      <c r="I328" s="17"/>
      <c r="J328" s="17"/>
      <c r="K328" s="17"/>
      <c r="L328" s="27" t="str">
        <f t="shared" si="6"/>
        <v/>
      </c>
    </row>
    <row r="329" spans="2:12" x14ac:dyDescent="0.2">
      <c r="B329" s="28"/>
      <c r="C329" s="16"/>
      <c r="D329" s="17"/>
      <c r="E329" s="17"/>
      <c r="F329" s="17"/>
      <c r="G329" s="17"/>
      <c r="H329" s="17"/>
      <c r="I329" s="17"/>
      <c r="J329" s="17"/>
      <c r="K329" s="17"/>
      <c r="L329" s="27" t="str">
        <f t="shared" si="6"/>
        <v/>
      </c>
    </row>
    <row r="330" spans="2:12" x14ac:dyDescent="0.2">
      <c r="B330" s="28"/>
      <c r="C330" s="16"/>
      <c r="D330" s="17"/>
      <c r="E330" s="17"/>
      <c r="F330" s="17"/>
      <c r="G330" s="17"/>
      <c r="H330" s="17"/>
      <c r="I330" s="17"/>
      <c r="J330" s="17"/>
      <c r="K330" s="17"/>
      <c r="L330" s="27" t="str">
        <f t="shared" si="6"/>
        <v/>
      </c>
    </row>
    <row r="331" spans="2:12" x14ac:dyDescent="0.2">
      <c r="B331" s="28"/>
      <c r="C331" s="16"/>
      <c r="D331" s="17"/>
      <c r="E331" s="17"/>
      <c r="F331" s="17"/>
      <c r="G331" s="17"/>
      <c r="H331" s="17"/>
      <c r="I331" s="17"/>
      <c r="J331" s="17"/>
      <c r="K331" s="17"/>
      <c r="L331" s="27" t="str">
        <f t="shared" si="6"/>
        <v/>
      </c>
    </row>
    <row r="332" spans="2:12" x14ac:dyDescent="0.2">
      <c r="B332" s="28"/>
      <c r="C332" s="16"/>
      <c r="D332" s="17"/>
      <c r="E332" s="17"/>
      <c r="F332" s="17"/>
      <c r="G332" s="17"/>
      <c r="H332" s="17"/>
      <c r="I332" s="17"/>
      <c r="J332" s="17"/>
      <c r="K332" s="17"/>
      <c r="L332" s="27" t="str">
        <f t="shared" si="6"/>
        <v/>
      </c>
    </row>
    <row r="333" spans="2:12" x14ac:dyDescent="0.2">
      <c r="B333" s="28"/>
      <c r="C333" s="16"/>
      <c r="D333" s="17"/>
      <c r="E333" s="17"/>
      <c r="F333" s="17"/>
      <c r="G333" s="17"/>
      <c r="H333" s="17"/>
      <c r="I333" s="17"/>
      <c r="J333" s="17"/>
      <c r="K333" s="17"/>
      <c r="L333" s="27" t="str">
        <f t="shared" ref="L333:L371" si="7">IF(B333=$K$9*12,J333/$D$9,"")</f>
        <v/>
      </c>
    </row>
    <row r="334" spans="2:12" x14ac:dyDescent="0.2">
      <c r="B334" s="28"/>
      <c r="C334" s="16"/>
      <c r="D334" s="17"/>
      <c r="E334" s="17"/>
      <c r="F334" s="17"/>
      <c r="G334" s="17"/>
      <c r="H334" s="17"/>
      <c r="I334" s="17"/>
      <c r="J334" s="17"/>
      <c r="K334" s="17"/>
      <c r="L334" s="27" t="str">
        <f t="shared" si="7"/>
        <v/>
      </c>
    </row>
    <row r="335" spans="2:12" x14ac:dyDescent="0.2">
      <c r="B335" s="28"/>
      <c r="C335" s="16"/>
      <c r="D335" s="17"/>
      <c r="E335" s="17"/>
      <c r="F335" s="17"/>
      <c r="G335" s="17"/>
      <c r="H335" s="17"/>
      <c r="I335" s="17"/>
      <c r="J335" s="17"/>
      <c r="K335" s="17"/>
      <c r="L335" s="27" t="str">
        <f t="shared" si="7"/>
        <v/>
      </c>
    </row>
    <row r="336" spans="2:12" x14ac:dyDescent="0.2">
      <c r="B336" s="28"/>
      <c r="C336" s="16"/>
      <c r="D336" s="17"/>
      <c r="E336" s="17"/>
      <c r="F336" s="17"/>
      <c r="G336" s="17"/>
      <c r="H336" s="17"/>
      <c r="I336" s="17"/>
      <c r="J336" s="17"/>
      <c r="K336" s="17"/>
      <c r="L336" s="27" t="str">
        <f t="shared" si="7"/>
        <v/>
      </c>
    </row>
    <row r="337" spans="2:12" x14ac:dyDescent="0.2">
      <c r="B337" s="28"/>
      <c r="C337" s="16"/>
      <c r="D337" s="17"/>
      <c r="E337" s="17"/>
      <c r="F337" s="17"/>
      <c r="G337" s="17"/>
      <c r="H337" s="17"/>
      <c r="I337" s="17"/>
      <c r="J337" s="17"/>
      <c r="K337" s="17"/>
      <c r="L337" s="27" t="str">
        <f t="shared" si="7"/>
        <v/>
      </c>
    </row>
    <row r="338" spans="2:12" x14ac:dyDescent="0.2">
      <c r="B338" s="28"/>
      <c r="C338" s="16"/>
      <c r="D338" s="17"/>
      <c r="E338" s="17"/>
      <c r="F338" s="17"/>
      <c r="G338" s="17"/>
      <c r="H338" s="17"/>
      <c r="I338" s="17"/>
      <c r="J338" s="17"/>
      <c r="K338" s="17"/>
      <c r="L338" s="27" t="str">
        <f t="shared" si="7"/>
        <v/>
      </c>
    </row>
    <row r="339" spans="2:12" x14ac:dyDescent="0.2">
      <c r="B339" s="28"/>
      <c r="C339" s="16"/>
      <c r="D339" s="17"/>
      <c r="E339" s="17"/>
      <c r="F339" s="17"/>
      <c r="G339" s="17"/>
      <c r="H339" s="17"/>
      <c r="I339" s="17"/>
      <c r="J339" s="17"/>
      <c r="K339" s="17"/>
      <c r="L339" s="27" t="str">
        <f t="shared" si="7"/>
        <v/>
      </c>
    </row>
    <row r="340" spans="2:12" x14ac:dyDescent="0.2">
      <c r="B340" s="28"/>
      <c r="C340" s="16"/>
      <c r="D340" s="17"/>
      <c r="E340" s="17"/>
      <c r="F340" s="17"/>
      <c r="G340" s="17"/>
      <c r="H340" s="17"/>
      <c r="I340" s="17"/>
      <c r="J340" s="17"/>
      <c r="K340" s="17"/>
      <c r="L340" s="27" t="str">
        <f t="shared" si="7"/>
        <v/>
      </c>
    </row>
    <row r="341" spans="2:12" x14ac:dyDescent="0.2">
      <c r="B341" s="28"/>
      <c r="C341" s="16"/>
      <c r="D341" s="17"/>
      <c r="E341" s="17"/>
      <c r="F341" s="17"/>
      <c r="G341" s="17"/>
      <c r="H341" s="17"/>
      <c r="I341" s="17"/>
      <c r="J341" s="17"/>
      <c r="K341" s="17"/>
      <c r="L341" s="27" t="str">
        <f t="shared" si="7"/>
        <v/>
      </c>
    </row>
    <row r="342" spans="2:12" x14ac:dyDescent="0.2">
      <c r="B342" s="28"/>
      <c r="C342" s="16"/>
      <c r="D342" s="17"/>
      <c r="E342" s="17"/>
      <c r="F342" s="17"/>
      <c r="G342" s="17"/>
      <c r="H342" s="17"/>
      <c r="I342" s="17"/>
      <c r="J342" s="17"/>
      <c r="K342" s="17"/>
      <c r="L342" s="27" t="str">
        <f t="shared" si="7"/>
        <v/>
      </c>
    </row>
    <row r="343" spans="2:12" x14ac:dyDescent="0.2">
      <c r="B343" s="28"/>
      <c r="C343" s="16"/>
      <c r="D343" s="17"/>
      <c r="E343" s="17"/>
      <c r="F343" s="17"/>
      <c r="G343" s="17"/>
      <c r="H343" s="17"/>
      <c r="I343" s="17"/>
      <c r="J343" s="17"/>
      <c r="K343" s="17"/>
      <c r="L343" s="27" t="str">
        <f t="shared" si="7"/>
        <v/>
      </c>
    </row>
    <row r="344" spans="2:12" x14ac:dyDescent="0.2">
      <c r="B344" s="28"/>
      <c r="C344" s="16"/>
      <c r="D344" s="17"/>
      <c r="E344" s="17"/>
      <c r="F344" s="17"/>
      <c r="G344" s="17"/>
      <c r="H344" s="17"/>
      <c r="I344" s="17"/>
      <c r="J344" s="17"/>
      <c r="K344" s="17"/>
      <c r="L344" s="27" t="str">
        <f t="shared" si="7"/>
        <v/>
      </c>
    </row>
    <row r="345" spans="2:12" x14ac:dyDescent="0.2">
      <c r="B345" s="28"/>
      <c r="C345" s="16"/>
      <c r="D345" s="17"/>
      <c r="E345" s="17"/>
      <c r="F345" s="17"/>
      <c r="G345" s="17"/>
      <c r="H345" s="17"/>
      <c r="I345" s="17"/>
      <c r="J345" s="17"/>
      <c r="K345" s="17"/>
      <c r="L345" s="27" t="str">
        <f t="shared" si="7"/>
        <v/>
      </c>
    </row>
    <row r="346" spans="2:12" x14ac:dyDescent="0.2">
      <c r="B346" s="28"/>
      <c r="C346" s="16"/>
      <c r="D346" s="17"/>
      <c r="E346" s="17"/>
      <c r="F346" s="17"/>
      <c r="G346" s="17"/>
      <c r="H346" s="17"/>
      <c r="I346" s="17"/>
      <c r="J346" s="17"/>
      <c r="K346" s="17"/>
      <c r="L346" s="27" t="str">
        <f t="shared" si="7"/>
        <v/>
      </c>
    </row>
    <row r="347" spans="2:12" x14ac:dyDescent="0.2">
      <c r="B347" s="28"/>
      <c r="C347" s="16"/>
      <c r="D347" s="17"/>
      <c r="E347" s="17"/>
      <c r="F347" s="17"/>
      <c r="G347" s="17"/>
      <c r="H347" s="17"/>
      <c r="I347" s="17"/>
      <c r="J347" s="17"/>
      <c r="K347" s="17"/>
      <c r="L347" s="27" t="str">
        <f t="shared" si="7"/>
        <v/>
      </c>
    </row>
    <row r="348" spans="2:12" x14ac:dyDescent="0.2">
      <c r="B348" s="28"/>
      <c r="C348" s="16"/>
      <c r="D348" s="17"/>
      <c r="E348" s="17"/>
      <c r="F348" s="17"/>
      <c r="G348" s="17"/>
      <c r="H348" s="17"/>
      <c r="I348" s="17"/>
      <c r="J348" s="17"/>
      <c r="K348" s="17"/>
      <c r="L348" s="27" t="str">
        <f t="shared" si="7"/>
        <v/>
      </c>
    </row>
    <row r="349" spans="2:12" x14ac:dyDescent="0.2">
      <c r="B349" s="28"/>
      <c r="C349" s="16"/>
      <c r="D349" s="17"/>
      <c r="E349" s="17"/>
      <c r="F349" s="17"/>
      <c r="G349" s="17"/>
      <c r="H349" s="17"/>
      <c r="I349" s="17"/>
      <c r="J349" s="17"/>
      <c r="K349" s="17"/>
      <c r="L349" s="27" t="str">
        <f t="shared" si="7"/>
        <v/>
      </c>
    </row>
    <row r="350" spans="2:12" x14ac:dyDescent="0.2">
      <c r="B350" s="28"/>
      <c r="C350" s="16"/>
      <c r="D350" s="17"/>
      <c r="E350" s="17"/>
      <c r="F350" s="17"/>
      <c r="G350" s="17"/>
      <c r="H350" s="17"/>
      <c r="I350" s="17"/>
      <c r="J350" s="17"/>
      <c r="K350" s="17"/>
      <c r="L350" s="27" t="str">
        <f t="shared" si="7"/>
        <v/>
      </c>
    </row>
    <row r="351" spans="2:12" x14ac:dyDescent="0.2">
      <c r="B351" s="28"/>
      <c r="C351" s="16"/>
      <c r="D351" s="17"/>
      <c r="E351" s="17"/>
      <c r="F351" s="17"/>
      <c r="G351" s="17"/>
      <c r="H351" s="17"/>
      <c r="I351" s="17"/>
      <c r="J351" s="17"/>
      <c r="K351" s="17"/>
      <c r="L351" s="27" t="str">
        <f t="shared" si="7"/>
        <v/>
      </c>
    </row>
    <row r="352" spans="2:12" x14ac:dyDescent="0.2">
      <c r="B352" s="28"/>
      <c r="C352" s="16"/>
      <c r="D352" s="17"/>
      <c r="E352" s="17"/>
      <c r="F352" s="17"/>
      <c r="G352" s="17"/>
      <c r="H352" s="17"/>
      <c r="I352" s="17"/>
      <c r="J352" s="17"/>
      <c r="K352" s="17"/>
      <c r="L352" s="27" t="str">
        <f t="shared" si="7"/>
        <v/>
      </c>
    </row>
    <row r="353" spans="2:12" x14ac:dyDescent="0.2">
      <c r="B353" s="28"/>
      <c r="C353" s="16"/>
      <c r="D353" s="17"/>
      <c r="E353" s="17"/>
      <c r="F353" s="17"/>
      <c r="G353" s="17"/>
      <c r="H353" s="17"/>
      <c r="I353" s="17"/>
      <c r="J353" s="17"/>
      <c r="K353" s="17"/>
      <c r="L353" s="27" t="str">
        <f t="shared" si="7"/>
        <v/>
      </c>
    </row>
    <row r="354" spans="2:12" x14ac:dyDescent="0.2">
      <c r="B354" s="28"/>
      <c r="C354" s="16"/>
      <c r="D354" s="17"/>
      <c r="E354" s="17"/>
      <c r="F354" s="17"/>
      <c r="G354" s="17"/>
      <c r="H354" s="17"/>
      <c r="I354" s="17"/>
      <c r="J354" s="17"/>
      <c r="K354" s="17"/>
      <c r="L354" s="27" t="str">
        <f t="shared" si="7"/>
        <v/>
      </c>
    </row>
    <row r="355" spans="2:12" x14ac:dyDescent="0.2">
      <c r="B355" s="28"/>
      <c r="C355" s="16"/>
      <c r="D355" s="17"/>
      <c r="E355" s="17"/>
      <c r="F355" s="17"/>
      <c r="G355" s="17"/>
      <c r="H355" s="17"/>
      <c r="I355" s="17"/>
      <c r="J355" s="17"/>
      <c r="K355" s="17"/>
      <c r="L355" s="27" t="str">
        <f t="shared" si="7"/>
        <v/>
      </c>
    </row>
    <row r="356" spans="2:12" x14ac:dyDescent="0.2">
      <c r="B356" s="28"/>
      <c r="C356" s="16"/>
      <c r="D356" s="17"/>
      <c r="E356" s="17"/>
      <c r="F356" s="17"/>
      <c r="G356" s="17"/>
      <c r="H356" s="17"/>
      <c r="I356" s="17"/>
      <c r="J356" s="17"/>
      <c r="K356" s="17"/>
      <c r="L356" s="27" t="str">
        <f t="shared" si="7"/>
        <v/>
      </c>
    </row>
    <row r="357" spans="2:12" x14ac:dyDescent="0.2">
      <c r="B357" s="28"/>
      <c r="C357" s="16"/>
      <c r="D357" s="17"/>
      <c r="E357" s="17"/>
      <c r="F357" s="17"/>
      <c r="G357" s="17"/>
      <c r="H357" s="17"/>
      <c r="I357" s="17"/>
      <c r="J357" s="17"/>
      <c r="K357" s="17"/>
      <c r="L357" s="27" t="str">
        <f t="shared" si="7"/>
        <v/>
      </c>
    </row>
    <row r="358" spans="2:12" x14ac:dyDescent="0.2">
      <c r="B358" s="28"/>
      <c r="C358" s="16"/>
      <c r="D358" s="17"/>
      <c r="E358" s="17"/>
      <c r="F358" s="17"/>
      <c r="G358" s="17"/>
      <c r="H358" s="17"/>
      <c r="I358" s="17"/>
      <c r="J358" s="17"/>
      <c r="K358" s="17"/>
      <c r="L358" s="27" t="str">
        <f t="shared" si="7"/>
        <v/>
      </c>
    </row>
    <row r="359" spans="2:12" x14ac:dyDescent="0.2">
      <c r="B359" s="28"/>
      <c r="C359" s="16"/>
      <c r="D359" s="17"/>
      <c r="E359" s="17"/>
      <c r="F359" s="17"/>
      <c r="G359" s="17"/>
      <c r="H359" s="17"/>
      <c r="I359" s="17"/>
      <c r="J359" s="17"/>
      <c r="K359" s="17"/>
      <c r="L359" s="27" t="str">
        <f t="shared" si="7"/>
        <v/>
      </c>
    </row>
    <row r="360" spans="2:12" x14ac:dyDescent="0.2">
      <c r="B360" s="28"/>
      <c r="C360" s="16"/>
      <c r="D360" s="17"/>
      <c r="E360" s="17"/>
      <c r="F360" s="17"/>
      <c r="G360" s="17"/>
      <c r="H360" s="17"/>
      <c r="I360" s="17"/>
      <c r="J360" s="17"/>
      <c r="K360" s="17"/>
      <c r="L360" s="27" t="str">
        <f t="shared" si="7"/>
        <v/>
      </c>
    </row>
    <row r="361" spans="2:12" x14ac:dyDescent="0.2">
      <c r="B361" s="28"/>
      <c r="C361" s="16"/>
      <c r="D361" s="17"/>
      <c r="E361" s="17"/>
      <c r="F361" s="17"/>
      <c r="G361" s="17"/>
      <c r="H361" s="17"/>
      <c r="I361" s="17"/>
      <c r="J361" s="17"/>
      <c r="K361" s="17"/>
      <c r="L361" s="27" t="str">
        <f t="shared" si="7"/>
        <v/>
      </c>
    </row>
    <row r="362" spans="2:12" x14ac:dyDescent="0.2">
      <c r="B362" s="28"/>
      <c r="C362" s="16"/>
      <c r="D362" s="17"/>
      <c r="E362" s="17"/>
      <c r="F362" s="17"/>
      <c r="G362" s="17"/>
      <c r="H362" s="17"/>
      <c r="I362" s="17"/>
      <c r="J362" s="17"/>
      <c r="K362" s="17"/>
      <c r="L362" s="27" t="str">
        <f t="shared" si="7"/>
        <v/>
      </c>
    </row>
    <row r="363" spans="2:12" x14ac:dyDescent="0.2">
      <c r="B363" s="28"/>
      <c r="C363" s="16"/>
      <c r="D363" s="17"/>
      <c r="E363" s="17"/>
      <c r="F363" s="17"/>
      <c r="G363" s="17"/>
      <c r="H363" s="17"/>
      <c r="I363" s="17"/>
      <c r="J363" s="17"/>
      <c r="K363" s="17"/>
      <c r="L363" s="27" t="str">
        <f t="shared" si="7"/>
        <v/>
      </c>
    </row>
    <row r="364" spans="2:12" x14ac:dyDescent="0.2">
      <c r="B364" s="28"/>
      <c r="C364" s="16"/>
      <c r="D364" s="17"/>
      <c r="E364" s="17"/>
      <c r="F364" s="17"/>
      <c r="G364" s="17"/>
      <c r="H364" s="17"/>
      <c r="I364" s="17"/>
      <c r="J364" s="17"/>
      <c r="K364" s="17"/>
      <c r="L364" s="27" t="str">
        <f t="shared" si="7"/>
        <v/>
      </c>
    </row>
    <row r="365" spans="2:12" x14ac:dyDescent="0.2">
      <c r="B365" s="28"/>
      <c r="C365" s="16"/>
      <c r="D365" s="17"/>
      <c r="E365" s="17"/>
      <c r="F365" s="17"/>
      <c r="G365" s="17"/>
      <c r="H365" s="17"/>
      <c r="I365" s="17"/>
      <c r="J365" s="17"/>
      <c r="K365" s="17"/>
      <c r="L365" s="27" t="str">
        <f t="shared" si="7"/>
        <v/>
      </c>
    </row>
    <row r="366" spans="2:12" x14ac:dyDescent="0.2">
      <c r="B366" s="28"/>
      <c r="C366" s="16"/>
      <c r="D366" s="17"/>
      <c r="E366" s="17"/>
      <c r="F366" s="17"/>
      <c r="G366" s="17"/>
      <c r="H366" s="17"/>
      <c r="I366" s="17"/>
      <c r="J366" s="17"/>
      <c r="K366" s="17"/>
      <c r="L366" s="27" t="str">
        <f t="shared" si="7"/>
        <v/>
      </c>
    </row>
    <row r="367" spans="2:12" x14ac:dyDescent="0.2">
      <c r="B367" s="28"/>
      <c r="C367" s="16"/>
      <c r="D367" s="17"/>
      <c r="E367" s="17"/>
      <c r="F367" s="17"/>
      <c r="G367" s="17"/>
      <c r="H367" s="17"/>
      <c r="I367" s="17"/>
      <c r="J367" s="17"/>
      <c r="K367" s="17"/>
      <c r="L367" s="27" t="str">
        <f t="shared" si="7"/>
        <v/>
      </c>
    </row>
    <row r="368" spans="2:12" x14ac:dyDescent="0.2">
      <c r="B368" s="28"/>
      <c r="C368" s="16"/>
      <c r="D368" s="17"/>
      <c r="E368" s="17"/>
      <c r="F368" s="17"/>
      <c r="G368" s="17"/>
      <c r="H368" s="17"/>
      <c r="I368" s="17"/>
      <c r="J368" s="17"/>
      <c r="K368" s="17"/>
      <c r="L368" s="27" t="str">
        <f t="shared" si="7"/>
        <v/>
      </c>
    </row>
    <row r="369" spans="2:12" x14ac:dyDescent="0.2">
      <c r="B369" s="28"/>
      <c r="C369" s="16"/>
      <c r="D369" s="17"/>
      <c r="E369" s="17"/>
      <c r="F369" s="17"/>
      <c r="G369" s="17"/>
      <c r="H369" s="17"/>
      <c r="I369" s="17"/>
      <c r="J369" s="17"/>
      <c r="K369" s="17"/>
      <c r="L369" s="27" t="str">
        <f t="shared" si="7"/>
        <v/>
      </c>
    </row>
    <row r="370" spans="2:12" x14ac:dyDescent="0.2">
      <c r="B370" s="28"/>
      <c r="C370" s="16"/>
      <c r="D370" s="17"/>
      <c r="E370" s="17"/>
      <c r="F370" s="17"/>
      <c r="G370" s="17"/>
      <c r="H370" s="17"/>
      <c r="I370" s="17"/>
      <c r="J370" s="17"/>
      <c r="K370" s="17"/>
      <c r="L370" s="27" t="str">
        <f t="shared" si="7"/>
        <v/>
      </c>
    </row>
    <row r="371" spans="2:12" x14ac:dyDescent="0.2">
      <c r="B371" s="28"/>
      <c r="C371" s="16"/>
      <c r="D371" s="17"/>
      <c r="E371" s="17"/>
      <c r="F371" s="17"/>
      <c r="G371" s="17"/>
      <c r="H371" s="17"/>
      <c r="I371" s="17"/>
      <c r="J371" s="17"/>
      <c r="K371" s="17"/>
      <c r="L371" s="27" t="str">
        <f t="shared" si="7"/>
        <v/>
      </c>
    </row>
  </sheetData>
  <mergeCells count="3">
    <mergeCell ref="B7:L7"/>
    <mergeCell ref="B9:C9"/>
    <mergeCell ref="F9:G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5"/>
  </sheetPr>
  <dimension ref="A7:W691"/>
  <sheetViews>
    <sheetView topLeftCell="A232" zoomScale="50" zoomScaleNormal="50" zoomScaleSheetLayoutView="40" zoomScalePageLayoutView="20" workbookViewId="0">
      <selection activeCell="AQ59" sqref="AQ59"/>
    </sheetView>
  </sheetViews>
  <sheetFormatPr baseColWidth="10" defaultColWidth="9.1640625" defaultRowHeight="15" x14ac:dyDescent="0.2"/>
  <cols>
    <col min="1" max="1" width="3.33203125" style="45" customWidth="1"/>
    <col min="2" max="3" width="15.6640625" style="46" customWidth="1"/>
    <col min="4" max="4" width="32.6640625" style="46" bestFit="1" customWidth="1"/>
    <col min="5" max="5" width="30.6640625" style="46" customWidth="1"/>
    <col min="6" max="6" width="41.5" style="46" customWidth="1"/>
    <col min="7" max="7" width="33.6640625" style="46" bestFit="1" customWidth="1"/>
    <col min="8" max="8" width="50.6640625" style="46" bestFit="1" customWidth="1"/>
    <col min="9" max="9" width="35.5" style="46" customWidth="1"/>
    <col min="10" max="10" width="36.5" style="46" customWidth="1"/>
    <col min="11" max="11" width="39.1640625" style="46" customWidth="1"/>
    <col min="12" max="12" width="36.5" style="46" customWidth="1"/>
    <col min="13" max="13" width="35.5" style="46" customWidth="1"/>
    <col min="14" max="14" width="37" style="46" customWidth="1"/>
    <col min="15" max="15" width="37.5" style="46" customWidth="1"/>
    <col min="16" max="16" width="33.6640625" style="46" bestFit="1" customWidth="1"/>
    <col min="17" max="17" width="20.6640625" style="46" customWidth="1"/>
    <col min="18" max="20" width="20.6640625" style="47" customWidth="1"/>
    <col min="21" max="23" width="15.6640625" style="47" customWidth="1"/>
    <col min="24" max="24" width="3.33203125" style="47" customWidth="1"/>
    <col min="25" max="50" width="9.1640625" style="47"/>
    <col min="51" max="52" width="9.1640625" style="47" customWidth="1"/>
    <col min="53" max="16384" width="9.1640625" style="47"/>
  </cols>
  <sheetData>
    <row r="7" spans="2:15" x14ac:dyDescent="0.2">
      <c r="C7" s="50"/>
      <c r="D7" s="50"/>
      <c r="E7" s="50"/>
      <c r="F7" s="50"/>
      <c r="G7" s="50"/>
      <c r="H7" s="50"/>
      <c r="I7" s="50"/>
      <c r="J7" s="50"/>
    </row>
    <row r="8" spans="2:15" x14ac:dyDescent="0.2">
      <c r="C8" s="50"/>
      <c r="D8" s="50"/>
      <c r="E8" s="50"/>
      <c r="F8" s="50"/>
      <c r="G8" s="50"/>
      <c r="H8" s="50"/>
      <c r="I8" s="50"/>
      <c r="J8" s="50"/>
    </row>
    <row r="9" spans="2:15" x14ac:dyDescent="0.2">
      <c r="B9" s="47"/>
      <c r="C9" s="50"/>
      <c r="D9" s="50"/>
      <c r="E9" s="50"/>
      <c r="F9" s="50"/>
      <c r="G9" s="50"/>
      <c r="H9" s="50"/>
      <c r="I9" s="50"/>
      <c r="J9" s="50"/>
    </row>
    <row r="10" spans="2:15" x14ac:dyDescent="0.2">
      <c r="C10" s="50"/>
      <c r="D10" s="50"/>
      <c r="E10" s="50"/>
      <c r="F10" s="50"/>
      <c r="G10" s="50"/>
      <c r="H10" s="50"/>
      <c r="I10" s="50"/>
      <c r="J10" s="50"/>
    </row>
    <row r="11" spans="2:15" x14ac:dyDescent="0.2">
      <c r="B11" s="47"/>
      <c r="C11" s="86"/>
      <c r="D11" s="86"/>
      <c r="E11" s="86"/>
      <c r="F11" s="86"/>
      <c r="G11" s="86"/>
      <c r="H11" s="50"/>
      <c r="I11" s="50"/>
      <c r="J11" s="50"/>
    </row>
    <row r="12" spans="2:15" x14ac:dyDescent="0.2">
      <c r="B12" s="47"/>
      <c r="C12" s="86"/>
      <c r="D12" s="86"/>
      <c r="E12" s="86"/>
      <c r="F12" s="86"/>
      <c r="G12" s="50"/>
      <c r="H12" s="50"/>
      <c r="I12" s="50"/>
      <c r="J12" s="50"/>
    </row>
    <row r="13" spans="2:15" x14ac:dyDescent="0.2"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</row>
    <row r="14" spans="2:15" x14ac:dyDescent="0.2"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</row>
    <row r="15" spans="2:15" x14ac:dyDescent="0.2"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</row>
    <row r="16" spans="2:15" x14ac:dyDescent="0.2"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</row>
    <row r="17" spans="2:18" x14ac:dyDescent="0.2"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</row>
    <row r="18" spans="2:18" x14ac:dyDescent="0.2"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</row>
    <row r="19" spans="2:18" x14ac:dyDescent="0.2"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</row>
    <row r="20" spans="2:18" x14ac:dyDescent="0.2">
      <c r="B20" s="47"/>
      <c r="C20" s="86"/>
      <c r="D20" s="86"/>
      <c r="E20" s="86"/>
      <c r="F20" s="86"/>
      <c r="G20" s="86"/>
      <c r="H20" s="50"/>
      <c r="I20" s="50"/>
      <c r="J20" s="50"/>
    </row>
    <row r="21" spans="2:18" x14ac:dyDescent="0.2">
      <c r="B21" s="47"/>
      <c r="C21" s="86"/>
      <c r="D21" s="86"/>
      <c r="E21" s="86"/>
      <c r="F21" s="86"/>
      <c r="G21" s="86"/>
      <c r="H21" s="50"/>
      <c r="I21" s="50"/>
      <c r="J21" s="50"/>
    </row>
    <row r="22" spans="2:18" x14ac:dyDescent="0.2">
      <c r="B22" s="47"/>
      <c r="C22" s="86"/>
      <c r="D22" s="86"/>
      <c r="E22" s="86"/>
      <c r="F22" s="86"/>
      <c r="G22" s="86"/>
      <c r="H22" s="50"/>
      <c r="I22" s="50"/>
      <c r="J22" s="50"/>
    </row>
    <row r="23" spans="2:18" x14ac:dyDescent="0.2">
      <c r="C23" s="50"/>
      <c r="D23" s="50"/>
      <c r="E23" s="50"/>
      <c r="F23" s="50"/>
      <c r="G23" s="50"/>
      <c r="H23" s="50"/>
      <c r="I23" s="50"/>
      <c r="J23" s="50"/>
    </row>
    <row r="24" spans="2:18" x14ac:dyDescent="0.2">
      <c r="C24" s="50"/>
      <c r="D24" s="50"/>
      <c r="E24" s="50"/>
      <c r="F24" s="50"/>
      <c r="G24" s="50"/>
      <c r="H24" s="50"/>
      <c r="I24" s="50"/>
      <c r="J24" s="50"/>
    </row>
    <row r="25" spans="2:18" x14ac:dyDescent="0.2">
      <c r="C25" s="50"/>
      <c r="D25" s="50"/>
      <c r="E25" s="50"/>
      <c r="F25" s="50"/>
      <c r="G25" s="50"/>
      <c r="H25" s="50"/>
      <c r="I25" s="50"/>
      <c r="J25" s="50"/>
    </row>
    <row r="26" spans="2:18" x14ac:dyDescent="0.2">
      <c r="C26" s="50"/>
      <c r="D26" s="50"/>
      <c r="E26" s="50"/>
      <c r="F26" s="50"/>
      <c r="G26" s="50"/>
      <c r="H26" s="50"/>
      <c r="I26" s="50"/>
      <c r="J26" s="50"/>
    </row>
    <row r="27" spans="2:18" x14ac:dyDescent="0.2">
      <c r="C27" s="50"/>
      <c r="D27" s="50"/>
      <c r="E27" s="50"/>
      <c r="F27" s="50"/>
      <c r="G27" s="50"/>
      <c r="H27" s="50"/>
      <c r="I27" s="50"/>
      <c r="J27" s="50"/>
      <c r="M27" s="50"/>
      <c r="N27" s="50"/>
      <c r="O27" s="50"/>
      <c r="P27" s="47"/>
      <c r="Q27" s="47"/>
    </row>
    <row r="28" spans="2:18" x14ac:dyDescent="0.2">
      <c r="B28" s="87"/>
      <c r="C28" s="87"/>
      <c r="D28" s="87"/>
      <c r="E28" s="87"/>
      <c r="F28" s="87"/>
      <c r="G28" s="87"/>
      <c r="H28" s="87"/>
      <c r="I28" s="87"/>
      <c r="J28" s="50"/>
      <c r="M28" s="50"/>
      <c r="N28" s="50"/>
      <c r="O28" s="50"/>
      <c r="P28" s="47"/>
      <c r="Q28" s="47"/>
    </row>
    <row r="29" spans="2:18" x14ac:dyDescent="0.2">
      <c r="B29" s="87"/>
      <c r="C29" s="87"/>
      <c r="D29" s="87"/>
      <c r="E29" s="87"/>
      <c r="F29" s="87"/>
      <c r="G29" s="87"/>
      <c r="H29" s="87"/>
      <c r="I29" s="87"/>
      <c r="J29" s="50"/>
      <c r="M29" s="50"/>
      <c r="N29" s="50"/>
      <c r="O29" s="50"/>
      <c r="P29" s="47"/>
      <c r="Q29" s="47"/>
    </row>
    <row r="30" spans="2:18" x14ac:dyDescent="0.2">
      <c r="B30" s="87"/>
      <c r="C30" s="87"/>
      <c r="D30" s="87"/>
      <c r="E30" s="87"/>
      <c r="F30" s="87"/>
      <c r="G30" s="87"/>
      <c r="H30" s="87"/>
      <c r="I30" s="87"/>
      <c r="J30" s="50"/>
      <c r="M30" s="50"/>
      <c r="N30" s="50"/>
      <c r="O30" s="50"/>
      <c r="P30" s="47"/>
      <c r="Q30" s="47"/>
    </row>
    <row r="31" spans="2:18" x14ac:dyDescent="0.2">
      <c r="B31" s="87"/>
      <c r="C31" s="87"/>
      <c r="D31" s="87"/>
      <c r="E31" s="87"/>
      <c r="F31" s="87"/>
      <c r="G31" s="87"/>
      <c r="H31" s="87"/>
      <c r="I31" s="87"/>
      <c r="J31" s="50"/>
      <c r="M31" s="50"/>
      <c r="N31" s="50"/>
      <c r="O31" s="50"/>
      <c r="P31" s="47"/>
      <c r="Q31" s="47"/>
    </row>
    <row r="32" spans="2:18" x14ac:dyDescent="0.2">
      <c r="B32" s="87"/>
      <c r="C32" s="87"/>
      <c r="D32" s="87"/>
      <c r="E32" s="87"/>
      <c r="F32" s="87"/>
      <c r="G32" s="87"/>
      <c r="H32" s="87"/>
      <c r="I32" s="87"/>
      <c r="J32" s="50"/>
      <c r="M32" s="50"/>
      <c r="N32" s="50"/>
      <c r="O32" s="50"/>
      <c r="P32" s="47"/>
      <c r="Q32" s="47"/>
    </row>
    <row r="33" spans="2:17" x14ac:dyDescent="0.2">
      <c r="C33" s="50"/>
      <c r="D33" s="50"/>
      <c r="E33" s="50"/>
      <c r="F33" s="50"/>
      <c r="G33" s="50"/>
      <c r="H33" s="50"/>
      <c r="I33" s="50"/>
      <c r="J33" s="50"/>
      <c r="M33" s="50"/>
      <c r="N33" s="50"/>
      <c r="O33" s="50"/>
      <c r="P33" s="47"/>
      <c r="Q33" s="47"/>
    </row>
    <row r="34" spans="2:17" x14ac:dyDescent="0.2">
      <c r="C34" s="50"/>
      <c r="D34" s="50"/>
      <c r="E34" s="50"/>
      <c r="F34" s="50"/>
      <c r="G34" s="50"/>
      <c r="H34" s="50"/>
      <c r="I34" s="50"/>
      <c r="J34" s="50"/>
      <c r="M34" s="50"/>
      <c r="N34" s="50"/>
      <c r="O34" s="50"/>
      <c r="P34" s="47"/>
      <c r="Q34" s="47"/>
    </row>
    <row r="35" spans="2:17" x14ac:dyDescent="0.2">
      <c r="C35" s="50"/>
      <c r="D35" s="50"/>
      <c r="E35" s="50"/>
      <c r="F35" s="50"/>
      <c r="G35" s="50"/>
      <c r="H35" s="50"/>
      <c r="I35" s="50"/>
      <c r="J35" s="50"/>
      <c r="M35" s="50"/>
      <c r="N35" s="50"/>
      <c r="O35" s="50"/>
      <c r="P35" s="47"/>
      <c r="Q35" s="47"/>
    </row>
    <row r="36" spans="2:17" x14ac:dyDescent="0.2">
      <c r="C36" s="50"/>
      <c r="D36" s="50"/>
      <c r="E36" s="50"/>
      <c r="F36" s="50"/>
      <c r="G36" s="50"/>
      <c r="H36" s="50"/>
      <c r="I36" s="50"/>
      <c r="J36" s="50"/>
      <c r="M36" s="50"/>
      <c r="N36" s="50"/>
      <c r="O36" s="50"/>
      <c r="P36" s="47"/>
      <c r="Q36" s="47"/>
    </row>
    <row r="37" spans="2:17" x14ac:dyDescent="0.2">
      <c r="I37" s="50"/>
      <c r="J37" s="50"/>
      <c r="M37" s="50"/>
      <c r="N37" s="50"/>
      <c r="O37" s="50"/>
      <c r="P37" s="47"/>
      <c r="Q37" s="47"/>
    </row>
    <row r="38" spans="2:17" x14ac:dyDescent="0.2">
      <c r="I38" s="50"/>
      <c r="J38" s="50"/>
      <c r="M38" s="50"/>
      <c r="N38" s="50"/>
      <c r="O38" s="50"/>
      <c r="P38" s="47"/>
      <c r="Q38" s="47"/>
    </row>
    <row r="39" spans="2:17" x14ac:dyDescent="0.2">
      <c r="I39" s="50"/>
      <c r="J39" s="50"/>
      <c r="M39" s="50"/>
      <c r="N39" s="50"/>
      <c r="O39" s="50"/>
      <c r="P39" s="47"/>
      <c r="Q39" s="47"/>
    </row>
    <row r="40" spans="2:17" x14ac:dyDescent="0.2">
      <c r="C40" s="50"/>
      <c r="D40" s="50"/>
      <c r="E40" s="50"/>
      <c r="F40" s="50"/>
      <c r="G40" s="50"/>
      <c r="H40" s="50"/>
      <c r="I40" s="50"/>
      <c r="J40" s="50"/>
      <c r="M40" s="50"/>
      <c r="N40" s="50"/>
      <c r="O40" s="50"/>
      <c r="P40" s="47"/>
      <c r="Q40" s="47"/>
    </row>
    <row r="41" spans="2:17" x14ac:dyDescent="0.2">
      <c r="B41" s="45"/>
      <c r="M41" s="50"/>
      <c r="N41" s="50"/>
      <c r="O41" s="50"/>
      <c r="P41" s="47"/>
      <c r="Q41" s="47"/>
    </row>
    <row r="42" spans="2:17" ht="3" customHeight="1" x14ac:dyDescent="0.2">
      <c r="C42" s="50"/>
      <c r="D42" s="50"/>
      <c r="E42" s="50"/>
      <c r="F42" s="50"/>
      <c r="G42" s="50"/>
      <c r="H42" s="50"/>
      <c r="I42" s="50"/>
      <c r="J42" s="50"/>
      <c r="M42" s="50"/>
      <c r="N42" s="50"/>
      <c r="O42" s="50"/>
      <c r="P42" s="47"/>
      <c r="Q42" s="47"/>
    </row>
    <row r="43" spans="2:17" x14ac:dyDescent="0.2">
      <c r="M43" s="50"/>
      <c r="N43" s="50"/>
      <c r="O43" s="50"/>
      <c r="P43" s="47"/>
      <c r="Q43" s="47"/>
    </row>
    <row r="44" spans="2:17" x14ac:dyDescent="0.2">
      <c r="C44" s="50"/>
      <c r="D44" s="50"/>
      <c r="E44" s="50"/>
      <c r="F44" s="50"/>
      <c r="G44" s="50"/>
      <c r="H44" s="50"/>
      <c r="I44" s="50"/>
      <c r="J44" s="50"/>
      <c r="M44" s="50"/>
      <c r="N44" s="50"/>
      <c r="O44" s="50"/>
      <c r="P44" s="47"/>
      <c r="Q44" s="47"/>
    </row>
    <row r="45" spans="2:17" x14ac:dyDescent="0.2">
      <c r="C45" s="50"/>
      <c r="D45" s="50"/>
      <c r="E45" s="50"/>
      <c r="F45" s="50"/>
      <c r="G45" s="50"/>
      <c r="H45" s="50"/>
      <c r="I45" s="50"/>
      <c r="J45" s="50"/>
      <c r="M45" s="50"/>
      <c r="N45" s="50"/>
      <c r="O45" s="50"/>
      <c r="P45" s="47"/>
      <c r="Q45" s="47"/>
    </row>
    <row r="46" spans="2:17" x14ac:dyDescent="0.2">
      <c r="M46" s="50"/>
      <c r="N46" s="50"/>
      <c r="O46" s="50"/>
      <c r="P46" s="47"/>
      <c r="Q46" s="47"/>
    </row>
    <row r="47" spans="2:17" x14ac:dyDescent="0.2">
      <c r="J47" s="50"/>
      <c r="M47" s="50"/>
      <c r="N47" s="50"/>
      <c r="O47" s="50"/>
      <c r="P47" s="47"/>
      <c r="Q47" s="47"/>
    </row>
    <row r="48" spans="2:17" x14ac:dyDescent="0.2">
      <c r="C48" s="50"/>
      <c r="D48" s="50"/>
      <c r="E48" s="50"/>
      <c r="F48" s="50"/>
      <c r="G48" s="50"/>
      <c r="H48" s="50"/>
      <c r="I48" s="50"/>
      <c r="J48" s="50"/>
      <c r="M48" s="50"/>
      <c r="N48" s="50"/>
      <c r="O48" s="50"/>
      <c r="P48" s="47"/>
      <c r="Q48" s="47"/>
    </row>
    <row r="49" spans="3:17" x14ac:dyDescent="0.2">
      <c r="C49" s="50"/>
      <c r="M49" s="50"/>
      <c r="N49" s="50"/>
      <c r="O49" s="50"/>
      <c r="P49" s="47"/>
      <c r="Q49" s="47"/>
    </row>
    <row r="50" spans="3:17" ht="24" x14ac:dyDescent="0.2">
      <c r="J50" s="88"/>
      <c r="M50" s="50"/>
      <c r="N50" s="50"/>
      <c r="O50" s="50"/>
      <c r="P50" s="47"/>
      <c r="Q50" s="47"/>
    </row>
    <row r="51" spans="3:17" x14ac:dyDescent="0.2">
      <c r="P51" s="47"/>
      <c r="Q51" s="47"/>
    </row>
    <row r="52" spans="3:17" x14ac:dyDescent="0.2">
      <c r="P52" s="47"/>
      <c r="Q52" s="47"/>
    </row>
    <row r="53" spans="3:17" x14ac:dyDescent="0.2">
      <c r="P53" s="47"/>
      <c r="Q53" s="47"/>
    </row>
    <row r="54" spans="3:17" x14ac:dyDescent="0.2">
      <c r="P54" s="47"/>
      <c r="Q54" s="47"/>
    </row>
    <row r="55" spans="3:17" x14ac:dyDescent="0.2">
      <c r="P55" s="47"/>
      <c r="Q55" s="47"/>
    </row>
    <row r="57" spans="3:17" x14ac:dyDescent="0.2">
      <c r="N57" s="50"/>
    </row>
    <row r="58" spans="3:17" x14ac:dyDescent="0.2">
      <c r="J58" s="50"/>
      <c r="M58" s="50"/>
      <c r="N58" s="50"/>
      <c r="O58" s="50"/>
    </row>
    <row r="59" spans="3:17" x14ac:dyDescent="0.2">
      <c r="J59" s="50"/>
      <c r="M59" s="50"/>
      <c r="N59" s="50"/>
      <c r="O59" s="50"/>
    </row>
    <row r="60" spans="3:17" ht="3" customHeight="1" x14ac:dyDescent="0.2">
      <c r="J60" s="50"/>
      <c r="M60" s="50"/>
      <c r="N60" s="50"/>
      <c r="O60" s="50"/>
      <c r="P60" s="47"/>
      <c r="Q60" s="47"/>
    </row>
    <row r="61" spans="3:17" x14ac:dyDescent="0.2">
      <c r="M61" s="50"/>
      <c r="N61" s="50"/>
      <c r="O61" s="50"/>
      <c r="P61" s="47"/>
      <c r="Q61" s="47"/>
    </row>
    <row r="62" spans="3:17" ht="15" customHeight="1" x14ac:dyDescent="0.2">
      <c r="M62" s="50"/>
      <c r="N62" s="50"/>
      <c r="O62" s="50"/>
      <c r="P62" s="47"/>
      <c r="Q62" s="47"/>
    </row>
    <row r="63" spans="3:17" ht="15" customHeight="1" x14ac:dyDescent="0.2">
      <c r="M63" s="50"/>
      <c r="N63" s="50"/>
      <c r="O63" s="50"/>
      <c r="P63" s="47"/>
      <c r="Q63" s="47"/>
    </row>
    <row r="64" spans="3:17" x14ac:dyDescent="0.2">
      <c r="M64" s="50"/>
      <c r="N64" s="50"/>
      <c r="O64" s="50"/>
      <c r="P64" s="47"/>
      <c r="Q64" s="47"/>
    </row>
    <row r="65" spans="2:17" x14ac:dyDescent="0.2">
      <c r="M65" s="50"/>
      <c r="N65" s="50"/>
      <c r="O65" s="50"/>
      <c r="P65" s="47"/>
      <c r="Q65" s="47"/>
    </row>
    <row r="66" spans="2:17" x14ac:dyDescent="0.2">
      <c r="M66" s="50"/>
      <c r="N66" s="50"/>
      <c r="O66" s="50"/>
      <c r="P66" s="47"/>
      <c r="Q66" s="47"/>
    </row>
    <row r="67" spans="2:17" x14ac:dyDescent="0.2">
      <c r="M67" s="50"/>
      <c r="N67" s="50"/>
      <c r="O67" s="50"/>
      <c r="P67" s="47"/>
      <c r="Q67" s="47"/>
    </row>
    <row r="68" spans="2:17" x14ac:dyDescent="0.2">
      <c r="M68" s="50"/>
      <c r="N68" s="50"/>
      <c r="O68" s="50"/>
      <c r="P68" s="47"/>
      <c r="Q68" s="47"/>
    </row>
    <row r="69" spans="2:17" ht="15" customHeight="1" x14ac:dyDescent="0.2">
      <c r="M69" s="88"/>
      <c r="N69" s="88"/>
      <c r="O69" s="88"/>
      <c r="P69" s="47"/>
      <c r="Q69" s="47"/>
    </row>
    <row r="70" spans="2:17" ht="15" customHeight="1" x14ac:dyDescent="0.2">
      <c r="M70" s="88"/>
      <c r="N70" s="88"/>
      <c r="O70" s="88"/>
      <c r="P70" s="47"/>
      <c r="Q70" s="47"/>
    </row>
    <row r="71" spans="2:17" ht="24" x14ac:dyDescent="0.2">
      <c r="M71" s="88"/>
      <c r="N71" s="88"/>
      <c r="O71" s="88"/>
      <c r="P71" s="47"/>
      <c r="Q71" s="47"/>
    </row>
    <row r="72" spans="2:17" ht="24" x14ac:dyDescent="0.2">
      <c r="M72" s="88"/>
      <c r="N72" s="88"/>
      <c r="O72" s="88"/>
      <c r="P72" s="47"/>
      <c r="Q72" s="47"/>
    </row>
    <row r="73" spans="2:17" ht="24" x14ac:dyDescent="0.2">
      <c r="M73" s="89"/>
      <c r="N73" s="89"/>
      <c r="O73" s="89"/>
      <c r="P73" s="47"/>
      <c r="Q73" s="47"/>
    </row>
    <row r="74" spans="2:17" x14ac:dyDescent="0.2">
      <c r="M74" s="50"/>
      <c r="N74" s="50"/>
      <c r="O74" s="50"/>
      <c r="P74" s="47"/>
      <c r="Q74" s="47"/>
    </row>
    <row r="75" spans="2:17" x14ac:dyDescent="0.2">
      <c r="B75" s="87"/>
      <c r="C75" s="87"/>
      <c r="M75" s="50"/>
      <c r="N75" s="50"/>
      <c r="O75" s="50"/>
      <c r="P75" s="47"/>
      <c r="Q75" s="47"/>
    </row>
    <row r="76" spans="2:17" x14ac:dyDescent="0.2">
      <c r="B76" s="87"/>
      <c r="C76" s="87"/>
      <c r="D76" s="87"/>
      <c r="E76" s="87"/>
      <c r="F76" s="87"/>
      <c r="G76" s="87"/>
      <c r="H76" s="87"/>
      <c r="I76" s="87"/>
      <c r="M76" s="50"/>
      <c r="N76" s="50"/>
      <c r="O76" s="50"/>
      <c r="P76" s="47"/>
      <c r="Q76" s="47"/>
    </row>
    <row r="77" spans="2:17" x14ac:dyDescent="0.2">
      <c r="M77" s="50"/>
      <c r="N77" s="50"/>
      <c r="O77" s="50"/>
      <c r="P77" s="47"/>
      <c r="Q77" s="47"/>
    </row>
    <row r="78" spans="2:17" ht="15" customHeight="1" x14ac:dyDescent="0.2">
      <c r="M78" s="50"/>
      <c r="N78" s="50"/>
      <c r="O78" s="50"/>
      <c r="P78" s="47"/>
      <c r="Q78" s="47"/>
    </row>
    <row r="79" spans="2:17" ht="15" customHeight="1" x14ac:dyDescent="0.2">
      <c r="M79" s="50"/>
      <c r="N79" s="50"/>
      <c r="O79" s="50"/>
      <c r="P79" s="47"/>
      <c r="Q79" s="47"/>
    </row>
    <row r="80" spans="2:17" ht="15" customHeight="1" x14ac:dyDescent="0.2">
      <c r="P80" s="50"/>
      <c r="Q80" s="47"/>
    </row>
    <row r="81" spans="8:17" ht="15" customHeight="1" x14ac:dyDescent="0.2">
      <c r="P81" s="47"/>
      <c r="Q81" s="47"/>
    </row>
    <row r="82" spans="8:17" ht="15" customHeight="1" x14ac:dyDescent="0.2">
      <c r="P82" s="47"/>
      <c r="Q82" s="47"/>
    </row>
    <row r="83" spans="8:17" ht="15" customHeight="1" x14ac:dyDescent="0.2">
      <c r="P83" s="47"/>
      <c r="Q83" s="47"/>
    </row>
    <row r="84" spans="8:17" x14ac:dyDescent="0.2">
      <c r="P84" s="47"/>
      <c r="Q84" s="47"/>
    </row>
    <row r="85" spans="8:17" x14ac:dyDescent="0.2">
      <c r="P85" s="47"/>
      <c r="Q85" s="47"/>
    </row>
    <row r="86" spans="8:17" x14ac:dyDescent="0.2">
      <c r="P86" s="47"/>
      <c r="Q86" s="47"/>
    </row>
    <row r="87" spans="8:17" x14ac:dyDescent="0.2">
      <c r="P87" s="47"/>
      <c r="Q87" s="47"/>
    </row>
    <row r="88" spans="8:17" x14ac:dyDescent="0.2">
      <c r="P88" s="47"/>
      <c r="Q88" s="47"/>
    </row>
    <row r="89" spans="8:17" ht="23.25" customHeight="1" x14ac:dyDescent="0.2">
      <c r="H89" s="218"/>
      <c r="I89" s="219"/>
      <c r="J89" s="219"/>
      <c r="K89" s="219"/>
      <c r="L89" s="219"/>
      <c r="M89" s="219"/>
      <c r="N89" s="219"/>
      <c r="O89" s="219"/>
      <c r="P89" s="47"/>
      <c r="Q89" s="47"/>
    </row>
    <row r="90" spans="8:17" ht="23.25" customHeight="1" x14ac:dyDescent="0.2">
      <c r="L90" s="50"/>
      <c r="M90" s="50"/>
      <c r="N90" s="50"/>
      <c r="O90" s="50"/>
      <c r="P90" s="47"/>
      <c r="Q90" s="47"/>
    </row>
    <row r="91" spans="8:17" ht="23.25" customHeight="1" x14ac:dyDescent="0.2">
      <c r="L91" s="50"/>
      <c r="M91" s="50"/>
      <c r="N91" s="50"/>
      <c r="O91" s="50"/>
      <c r="P91" s="47"/>
      <c r="Q91" s="47"/>
    </row>
    <row r="92" spans="8:17" x14ac:dyDescent="0.2">
      <c r="L92" s="50"/>
      <c r="M92" s="50"/>
      <c r="N92" s="50"/>
      <c r="O92" s="50"/>
      <c r="P92" s="47"/>
      <c r="Q92" s="47"/>
    </row>
    <row r="93" spans="8:17" x14ac:dyDescent="0.2">
      <c r="O93" s="50"/>
      <c r="P93" s="47"/>
      <c r="Q93" s="47"/>
    </row>
    <row r="94" spans="8:17" x14ac:dyDescent="0.2">
      <c r="O94" s="50"/>
      <c r="P94" s="47"/>
      <c r="Q94" s="47"/>
    </row>
    <row r="95" spans="8:17" x14ac:dyDescent="0.2">
      <c r="M95" s="50"/>
      <c r="N95" s="50"/>
      <c r="O95" s="50"/>
      <c r="P95" s="47"/>
      <c r="Q95" s="47"/>
    </row>
    <row r="96" spans="8:17" ht="92" x14ac:dyDescent="0.2">
      <c r="H96" s="471" t="s">
        <v>53</v>
      </c>
      <c r="I96" s="471"/>
      <c r="J96" s="471"/>
      <c r="K96" s="471"/>
      <c r="L96" s="471"/>
      <c r="M96" s="471"/>
      <c r="N96" s="471"/>
      <c r="O96" s="471"/>
      <c r="P96" s="47"/>
      <c r="Q96" s="47"/>
    </row>
    <row r="97" spans="2:18" ht="62" x14ac:dyDescent="0.2">
      <c r="I97" s="472" t="str">
        <f>'1. Property Information'!$D$9</f>
        <v>702 &amp; 704 S Lincoln St. Santa Maria, CA 93458
 Ten Unit Investment Property</v>
      </c>
      <c r="J97" s="472"/>
      <c r="K97" s="472"/>
      <c r="L97" s="472"/>
      <c r="M97" s="472"/>
      <c r="N97" s="472"/>
      <c r="O97" s="275"/>
      <c r="P97" s="47"/>
      <c r="Q97" s="47"/>
    </row>
    <row r="98" spans="2:18" x14ac:dyDescent="0.2">
      <c r="I98" s="472"/>
      <c r="J98" s="472"/>
      <c r="K98" s="472"/>
      <c r="L98" s="472"/>
      <c r="M98" s="472"/>
      <c r="N98" s="472"/>
      <c r="P98" s="47"/>
      <c r="Q98" s="47"/>
    </row>
    <row r="99" spans="2:18" x14ac:dyDescent="0.2">
      <c r="I99" s="472"/>
      <c r="J99" s="472"/>
      <c r="K99" s="472"/>
      <c r="L99" s="472"/>
      <c r="M99" s="472"/>
      <c r="N99" s="472"/>
      <c r="P99" s="47"/>
      <c r="Q99" s="47"/>
    </row>
    <row r="100" spans="2:18" x14ac:dyDescent="0.2">
      <c r="I100" s="472"/>
      <c r="J100" s="472"/>
      <c r="K100" s="472"/>
      <c r="L100" s="472"/>
      <c r="M100" s="472"/>
      <c r="N100" s="472"/>
      <c r="P100" s="47"/>
      <c r="Q100" s="47"/>
    </row>
    <row r="101" spans="2:18" x14ac:dyDescent="0.2">
      <c r="I101" s="472"/>
      <c r="J101" s="472"/>
      <c r="K101" s="472"/>
      <c r="L101" s="472"/>
      <c r="M101" s="472"/>
      <c r="N101" s="472"/>
      <c r="P101" s="47"/>
      <c r="Q101" s="47"/>
    </row>
    <row r="102" spans="2:18" x14ac:dyDescent="0.2">
      <c r="I102" s="472"/>
      <c r="J102" s="472"/>
      <c r="K102" s="472"/>
      <c r="L102" s="472"/>
      <c r="M102" s="472"/>
      <c r="N102" s="472"/>
      <c r="P102" s="47"/>
      <c r="Q102" s="47"/>
    </row>
    <row r="103" spans="2:18" x14ac:dyDescent="0.2">
      <c r="P103" s="47"/>
      <c r="Q103" s="47"/>
    </row>
    <row r="104" spans="2:18" x14ac:dyDescent="0.2">
      <c r="P104" s="47"/>
      <c r="Q104" s="47"/>
    </row>
    <row r="105" spans="2:18" x14ac:dyDescent="0.2">
      <c r="P105" s="47"/>
      <c r="Q105" s="47"/>
      <c r="R105" s="46"/>
    </row>
    <row r="106" spans="2:18" x14ac:dyDescent="0.2">
      <c r="P106" s="47"/>
      <c r="Q106" s="47"/>
      <c r="R106" s="46"/>
    </row>
    <row r="111" spans="2:18" x14ac:dyDescent="0.2">
      <c r="B111" s="47"/>
    </row>
    <row r="112" spans="2:18" x14ac:dyDescent="0.2">
      <c r="B112" s="47"/>
    </row>
    <row r="118" spans="8:15" ht="29" x14ac:dyDescent="0.2">
      <c r="H118" s="226"/>
      <c r="I118" s="226"/>
      <c r="J118" s="226"/>
      <c r="K118" s="226"/>
      <c r="L118" s="226"/>
      <c r="M118" s="226"/>
      <c r="N118" s="226"/>
      <c r="O118" s="226"/>
    </row>
    <row r="119" spans="8:15" ht="62" x14ac:dyDescent="0.2">
      <c r="H119" s="470" t="s">
        <v>165</v>
      </c>
      <c r="I119" s="470"/>
      <c r="J119" s="470"/>
      <c r="K119" s="470"/>
      <c r="L119" s="470"/>
      <c r="M119" s="470"/>
      <c r="N119" s="470"/>
      <c r="O119" s="470"/>
    </row>
    <row r="120" spans="8:15" ht="62" x14ac:dyDescent="0.2">
      <c r="H120" s="470" t="s">
        <v>166</v>
      </c>
      <c r="I120" s="470"/>
      <c r="J120" s="470"/>
      <c r="K120" s="470"/>
      <c r="L120" s="470"/>
      <c r="M120" s="470"/>
      <c r="N120" s="470"/>
      <c r="O120" s="470"/>
    </row>
    <row r="121" spans="8:15" ht="62" x14ac:dyDescent="0.2">
      <c r="H121" s="470" t="s">
        <v>167</v>
      </c>
      <c r="I121" s="470"/>
      <c r="J121" s="470"/>
      <c r="K121" s="470"/>
      <c r="L121" s="470"/>
      <c r="M121" s="470"/>
      <c r="N121" s="470"/>
      <c r="O121" s="470"/>
    </row>
    <row r="122" spans="8:15" ht="62" x14ac:dyDescent="0.2">
      <c r="H122" s="468" t="s">
        <v>168</v>
      </c>
      <c r="I122" s="469"/>
      <c r="J122" s="469"/>
      <c r="K122" s="469"/>
      <c r="L122" s="469"/>
      <c r="M122" s="469"/>
      <c r="N122" s="469"/>
      <c r="O122" s="469"/>
    </row>
    <row r="123" spans="8:15" ht="29" x14ac:dyDescent="0.2">
      <c r="H123" s="226"/>
      <c r="I123" s="226"/>
      <c r="J123" s="226"/>
      <c r="K123" s="226"/>
      <c r="L123" s="226"/>
      <c r="M123" s="226"/>
      <c r="N123" s="226"/>
      <c r="O123" s="226"/>
    </row>
    <row r="134" spans="2:15" x14ac:dyDescent="0.2">
      <c r="B134" s="50"/>
    </row>
    <row r="135" spans="2:15" x14ac:dyDescent="0.2">
      <c r="O135" s="50"/>
    </row>
    <row r="137" spans="2:15" x14ac:dyDescent="0.2">
      <c r="O137" s="50"/>
    </row>
    <row r="138" spans="2:15" ht="15" customHeight="1" x14ac:dyDescent="0.2"/>
    <row r="139" spans="2:15" x14ac:dyDescent="0.2">
      <c r="C139" s="91"/>
      <c r="D139" s="91"/>
      <c r="E139" s="91"/>
      <c r="F139" s="91"/>
      <c r="G139" s="91"/>
      <c r="H139" s="91"/>
      <c r="I139" s="91"/>
      <c r="J139" s="91"/>
      <c r="K139" s="91"/>
      <c r="L139" s="91"/>
      <c r="M139" s="91"/>
    </row>
    <row r="140" spans="2:15" x14ac:dyDescent="0.2">
      <c r="C140" s="91"/>
      <c r="D140" s="91"/>
      <c r="E140" s="91"/>
      <c r="F140" s="91"/>
      <c r="G140" s="91"/>
      <c r="H140" s="91"/>
      <c r="I140" s="91"/>
      <c r="J140" s="91"/>
      <c r="K140" s="91"/>
      <c r="L140" s="91"/>
      <c r="M140" s="91"/>
    </row>
    <row r="141" spans="2:15" x14ac:dyDescent="0.2">
      <c r="B141" s="45"/>
      <c r="D141" s="91"/>
      <c r="E141" s="91"/>
      <c r="F141" s="91"/>
      <c r="G141" s="91"/>
      <c r="H141" s="91"/>
      <c r="I141" s="91"/>
      <c r="J141" s="91"/>
      <c r="K141" s="91"/>
      <c r="L141" s="91"/>
      <c r="M141" s="91"/>
      <c r="N141" s="91"/>
    </row>
    <row r="142" spans="2:15" x14ac:dyDescent="0.2">
      <c r="B142" s="45"/>
    </row>
    <row r="143" spans="2:15" ht="3" customHeight="1" x14ac:dyDescent="0.2"/>
    <row r="148" spans="3:7" ht="3" customHeight="1" x14ac:dyDescent="0.2"/>
    <row r="149" spans="3:7" ht="45" customHeight="1" x14ac:dyDescent="0.2"/>
    <row r="150" spans="3:7" ht="92" x14ac:dyDescent="0.2">
      <c r="C150" s="227" t="s">
        <v>135</v>
      </c>
    </row>
    <row r="151" spans="3:7" ht="15" customHeight="1" x14ac:dyDescent="0.2"/>
    <row r="152" spans="3:7" ht="15" customHeight="1" x14ac:dyDescent="0.2"/>
    <row r="153" spans="3:7" ht="15" customHeight="1" x14ac:dyDescent="0.2"/>
    <row r="154" spans="3:7" ht="45" customHeight="1" x14ac:dyDescent="0.2">
      <c r="C154" s="220"/>
      <c r="D154" s="310" t="s">
        <v>77</v>
      </c>
      <c r="E154" s="222" t="str">
        <f>'1. Property Information'!D11&amp;" "&amp;'1. Property Information'!C13&amp;", "&amp;'1. Property Information'!F13&amp;" "&amp;'1. Property Information'!I13</f>
        <v>702 S Lincoln St. &amp; 704 S Lincoln St. Santa Maria, CA 93458</v>
      </c>
      <c r="F154" s="222"/>
      <c r="G154" s="223"/>
    </row>
    <row r="155" spans="3:7" ht="45" customHeight="1" x14ac:dyDescent="0.2">
      <c r="C155" s="220"/>
      <c r="D155" s="221"/>
      <c r="E155" s="221"/>
      <c r="F155" s="222" t="str">
        <f>'1. Property Information'!C13&amp;", "&amp;'1. Property Information'!F13&amp;" "&amp;'1. Property Information'!I13</f>
        <v>Santa Maria, CA 93458</v>
      </c>
      <c r="G155" s="223"/>
    </row>
    <row r="156" spans="3:7" ht="45" customHeight="1" x14ac:dyDescent="0.2"/>
    <row r="173" spans="7:9" ht="24" x14ac:dyDescent="0.2">
      <c r="G173" s="120"/>
      <c r="H173" s="120"/>
      <c r="I173" s="120"/>
    </row>
    <row r="174" spans="7:9" ht="24" x14ac:dyDescent="0.2">
      <c r="G174" s="120"/>
      <c r="H174" s="120"/>
      <c r="I174" s="120"/>
    </row>
    <row r="175" spans="7:9" ht="24" x14ac:dyDescent="0.2">
      <c r="G175" s="120"/>
      <c r="H175" s="120"/>
      <c r="I175" s="120"/>
    </row>
    <row r="176" spans="7:9" ht="24" x14ac:dyDescent="0.2">
      <c r="G176" s="120"/>
      <c r="H176" s="120"/>
      <c r="I176" s="120"/>
    </row>
    <row r="177" spans="3:9" ht="24" x14ac:dyDescent="0.2">
      <c r="G177" s="120"/>
      <c r="H177" s="120"/>
      <c r="I177" s="120"/>
    </row>
    <row r="178" spans="3:9" ht="24" x14ac:dyDescent="0.2">
      <c r="G178" s="120"/>
      <c r="H178" s="120"/>
      <c r="I178" s="120"/>
    </row>
    <row r="179" spans="3:9" ht="24" x14ac:dyDescent="0.2">
      <c r="G179" s="120"/>
      <c r="H179" s="120"/>
      <c r="I179" s="120"/>
    </row>
    <row r="180" spans="3:9" ht="24" x14ac:dyDescent="0.2">
      <c r="G180" s="120"/>
      <c r="H180" s="120"/>
      <c r="I180" s="120"/>
    </row>
    <row r="181" spans="3:9" ht="24" x14ac:dyDescent="0.2">
      <c r="G181" s="120"/>
      <c r="H181" s="120"/>
      <c r="I181" s="120"/>
    </row>
    <row r="182" spans="3:9" ht="24" x14ac:dyDescent="0.2">
      <c r="G182" s="120"/>
      <c r="H182" s="120"/>
      <c r="I182" s="120"/>
    </row>
    <row r="183" spans="3:9" ht="24" x14ac:dyDescent="0.2">
      <c r="G183" s="120"/>
      <c r="H183" s="120"/>
      <c r="I183" s="120"/>
    </row>
    <row r="184" spans="3:9" ht="24" x14ac:dyDescent="0.2">
      <c r="G184" s="120"/>
      <c r="H184" s="120"/>
      <c r="I184" s="120"/>
    </row>
    <row r="185" spans="3:9" ht="24" x14ac:dyDescent="0.2">
      <c r="G185" s="120"/>
      <c r="H185" s="120"/>
      <c r="I185" s="120"/>
    </row>
    <row r="186" spans="3:9" ht="24" x14ac:dyDescent="0.2">
      <c r="G186" s="120"/>
      <c r="H186" s="120"/>
      <c r="I186" s="120"/>
    </row>
    <row r="187" spans="3:9" ht="24" x14ac:dyDescent="0.2">
      <c r="G187" s="120"/>
      <c r="H187" s="120"/>
      <c r="I187" s="120"/>
    </row>
    <row r="188" spans="3:9" ht="24" x14ac:dyDescent="0.2">
      <c r="G188" s="120"/>
      <c r="H188" s="120"/>
      <c r="I188" s="120"/>
    </row>
    <row r="189" spans="3:9" ht="24" x14ac:dyDescent="0.2">
      <c r="G189" s="120"/>
      <c r="H189" s="120"/>
      <c r="I189" s="120"/>
    </row>
    <row r="190" spans="3:9" ht="24" x14ac:dyDescent="0.2">
      <c r="G190" s="120"/>
      <c r="H190" s="120"/>
      <c r="I190" s="120"/>
    </row>
    <row r="191" spans="3:9" ht="24" x14ac:dyDescent="0.2">
      <c r="G191" s="120"/>
      <c r="H191" s="120"/>
      <c r="I191" s="120"/>
    </row>
    <row r="192" spans="3:9" ht="24" x14ac:dyDescent="0.3">
      <c r="C192" s="121"/>
      <c r="D192" s="121"/>
      <c r="E192" s="121"/>
      <c r="F192" s="126"/>
      <c r="G192" s="120"/>
      <c r="H192" s="120"/>
      <c r="I192" s="120"/>
    </row>
    <row r="193" spans="3:9" ht="24" x14ac:dyDescent="0.2">
      <c r="C193" s="120"/>
      <c r="D193" s="120"/>
      <c r="E193" s="120"/>
      <c r="F193" s="120"/>
      <c r="G193" s="120"/>
      <c r="H193" s="120"/>
      <c r="I193" s="120"/>
    </row>
    <row r="204" spans="3:9" ht="3" customHeight="1" x14ac:dyDescent="0.2"/>
    <row r="208" spans="3:9" ht="3" customHeight="1" x14ac:dyDescent="0.2"/>
    <row r="211" spans="2:21" ht="92" x14ac:dyDescent="0.2">
      <c r="C211" s="228" t="s">
        <v>16</v>
      </c>
    </row>
    <row r="212" spans="2:21" x14ac:dyDescent="0.2">
      <c r="N212" s="50"/>
    </row>
    <row r="213" spans="2:21" ht="15" customHeight="1" x14ac:dyDescent="0.2">
      <c r="D213" s="473" t="str">
        <f>'4. Report'!C34</f>
        <v>These multi-family homes are located at 702 and 704 S Lincoln St, Santa Maria, CA.702 &amp; 704 S Lincoln St is in Santa Maria, CA and in ZIP code 93458. This property has a lot size of 0.41 acres.  Home Details for 702 &amp; 704 S Lincoln St: 
Multi Family:  0.41 acres lot sizes
County: Santa Barbara
Tax Rate Code Area: 3-000
Land Use Code: Apartment house (5+ units)</v>
      </c>
      <c r="E213" s="474"/>
      <c r="F213" s="474"/>
      <c r="G213" s="474"/>
      <c r="H213" s="474"/>
      <c r="I213" s="474"/>
      <c r="J213" s="474"/>
      <c r="K213" s="474"/>
      <c r="L213" s="474"/>
      <c r="M213" s="474"/>
      <c r="N213" s="474"/>
      <c r="O213" s="475"/>
      <c r="P213" s="276"/>
      <c r="Q213" s="276"/>
      <c r="R213" s="276"/>
      <c r="S213" s="276"/>
      <c r="T213" s="276"/>
      <c r="U213" s="277"/>
    </row>
    <row r="214" spans="2:21" ht="15" customHeight="1" x14ac:dyDescent="0.2">
      <c r="C214" s="127"/>
      <c r="D214" s="476"/>
      <c r="E214" s="477"/>
      <c r="F214" s="477"/>
      <c r="G214" s="477"/>
      <c r="H214" s="477"/>
      <c r="I214" s="477"/>
      <c r="J214" s="477"/>
      <c r="K214" s="477"/>
      <c r="L214" s="477"/>
      <c r="M214" s="477"/>
      <c r="N214" s="477"/>
      <c r="O214" s="478"/>
      <c r="P214" s="278"/>
      <c r="Q214" s="278"/>
      <c r="R214" s="278"/>
      <c r="S214" s="278"/>
      <c r="T214" s="278"/>
      <c r="U214" s="279"/>
    </row>
    <row r="215" spans="2:21" ht="15" customHeight="1" x14ac:dyDescent="0.2">
      <c r="C215" s="127"/>
      <c r="D215" s="476"/>
      <c r="E215" s="477"/>
      <c r="F215" s="477"/>
      <c r="G215" s="477"/>
      <c r="H215" s="477"/>
      <c r="I215" s="477"/>
      <c r="J215" s="477"/>
      <c r="K215" s="477"/>
      <c r="L215" s="477"/>
      <c r="M215" s="477"/>
      <c r="N215" s="477"/>
      <c r="O215" s="478"/>
      <c r="P215" s="278"/>
      <c r="Q215" s="278"/>
      <c r="R215" s="278"/>
      <c r="S215" s="278"/>
      <c r="T215" s="278"/>
      <c r="U215" s="279"/>
    </row>
    <row r="216" spans="2:21" ht="15" customHeight="1" x14ac:dyDescent="0.2">
      <c r="C216" s="127"/>
      <c r="D216" s="476"/>
      <c r="E216" s="477"/>
      <c r="F216" s="477"/>
      <c r="G216" s="477"/>
      <c r="H216" s="477"/>
      <c r="I216" s="477"/>
      <c r="J216" s="477"/>
      <c r="K216" s="477"/>
      <c r="L216" s="477"/>
      <c r="M216" s="477"/>
      <c r="N216" s="477"/>
      <c r="O216" s="478"/>
      <c r="P216" s="278"/>
      <c r="Q216" s="278"/>
      <c r="R216" s="278"/>
      <c r="S216" s="278"/>
      <c r="T216" s="278"/>
      <c r="U216" s="279"/>
    </row>
    <row r="217" spans="2:21" ht="15" customHeight="1" x14ac:dyDescent="0.2">
      <c r="C217" s="127"/>
      <c r="D217" s="476"/>
      <c r="E217" s="477"/>
      <c r="F217" s="477"/>
      <c r="G217" s="477"/>
      <c r="H217" s="477"/>
      <c r="I217" s="477"/>
      <c r="J217" s="477"/>
      <c r="K217" s="477"/>
      <c r="L217" s="477"/>
      <c r="M217" s="477"/>
      <c r="N217" s="477"/>
      <c r="O217" s="478"/>
      <c r="P217" s="278"/>
      <c r="Q217" s="278"/>
      <c r="R217" s="278"/>
      <c r="S217" s="278"/>
      <c r="T217" s="278"/>
      <c r="U217" s="279"/>
    </row>
    <row r="218" spans="2:21" ht="3" customHeight="1" x14ac:dyDescent="0.2">
      <c r="C218" s="127"/>
      <c r="D218" s="476"/>
      <c r="E218" s="477"/>
      <c r="F218" s="477"/>
      <c r="G218" s="477"/>
      <c r="H218" s="477"/>
      <c r="I218" s="477"/>
      <c r="J218" s="477"/>
      <c r="K218" s="477"/>
      <c r="L218" s="477"/>
      <c r="M218" s="477"/>
      <c r="N218" s="477"/>
      <c r="O218" s="478"/>
      <c r="P218" s="278"/>
      <c r="Q218" s="278"/>
      <c r="R218" s="278"/>
      <c r="S218" s="278"/>
      <c r="T218" s="278"/>
      <c r="U218" s="279"/>
    </row>
    <row r="219" spans="2:21" ht="15" customHeight="1" x14ac:dyDescent="0.2">
      <c r="C219" s="127"/>
      <c r="D219" s="476"/>
      <c r="E219" s="477"/>
      <c r="F219" s="477"/>
      <c r="G219" s="477"/>
      <c r="H219" s="477"/>
      <c r="I219" s="477"/>
      <c r="J219" s="477"/>
      <c r="K219" s="477"/>
      <c r="L219" s="477"/>
      <c r="M219" s="477"/>
      <c r="N219" s="477"/>
      <c r="O219" s="478"/>
      <c r="P219" s="278"/>
      <c r="Q219" s="278"/>
      <c r="R219" s="278"/>
      <c r="S219" s="278"/>
      <c r="T219" s="278"/>
      <c r="U219" s="279"/>
    </row>
    <row r="220" spans="2:21" ht="15" customHeight="1" x14ac:dyDescent="0.2">
      <c r="C220" s="127"/>
      <c r="D220" s="476"/>
      <c r="E220" s="477"/>
      <c r="F220" s="477"/>
      <c r="G220" s="477"/>
      <c r="H220" s="477"/>
      <c r="I220" s="477"/>
      <c r="J220" s="477"/>
      <c r="K220" s="477"/>
      <c r="L220" s="477"/>
      <c r="M220" s="477"/>
      <c r="N220" s="477"/>
      <c r="O220" s="478"/>
      <c r="P220" s="278"/>
      <c r="Q220" s="278"/>
      <c r="R220" s="278"/>
      <c r="S220" s="278"/>
      <c r="T220" s="278"/>
      <c r="U220" s="279"/>
    </row>
    <row r="221" spans="2:21" ht="15" customHeight="1" x14ac:dyDescent="0.2">
      <c r="C221" s="127"/>
      <c r="D221" s="476"/>
      <c r="E221" s="477"/>
      <c r="F221" s="477"/>
      <c r="G221" s="477"/>
      <c r="H221" s="477"/>
      <c r="I221" s="477"/>
      <c r="J221" s="477"/>
      <c r="K221" s="477"/>
      <c r="L221" s="477"/>
      <c r="M221" s="477"/>
      <c r="N221" s="477"/>
      <c r="O221" s="478"/>
      <c r="P221" s="278"/>
      <c r="Q221" s="278"/>
      <c r="R221" s="278"/>
      <c r="S221" s="278"/>
      <c r="T221" s="278"/>
      <c r="U221" s="279"/>
    </row>
    <row r="222" spans="2:21" ht="15" customHeight="1" x14ac:dyDescent="0.2">
      <c r="C222" s="127"/>
      <c r="D222" s="476"/>
      <c r="E222" s="477"/>
      <c r="F222" s="477"/>
      <c r="G222" s="477"/>
      <c r="H222" s="477"/>
      <c r="I222" s="477"/>
      <c r="J222" s="477"/>
      <c r="K222" s="477"/>
      <c r="L222" s="477"/>
      <c r="M222" s="477"/>
      <c r="N222" s="477"/>
      <c r="O222" s="478"/>
      <c r="P222" s="278"/>
      <c r="Q222" s="278"/>
      <c r="R222" s="278"/>
      <c r="S222" s="278"/>
      <c r="T222" s="278"/>
      <c r="U222" s="279"/>
    </row>
    <row r="223" spans="2:21" ht="15" customHeight="1" x14ac:dyDescent="0.2">
      <c r="C223" s="127"/>
      <c r="D223" s="476"/>
      <c r="E223" s="477"/>
      <c r="F223" s="477"/>
      <c r="G223" s="477"/>
      <c r="H223" s="477"/>
      <c r="I223" s="477"/>
      <c r="J223" s="477"/>
      <c r="K223" s="477"/>
      <c r="L223" s="477"/>
      <c r="M223" s="477"/>
      <c r="N223" s="477"/>
      <c r="O223" s="478"/>
      <c r="P223" s="278"/>
      <c r="Q223" s="278"/>
      <c r="R223" s="278"/>
      <c r="S223" s="278"/>
      <c r="T223" s="278"/>
      <c r="U223" s="279"/>
    </row>
    <row r="224" spans="2:21" ht="15" customHeight="1" x14ac:dyDescent="0.2">
      <c r="B224" s="45"/>
      <c r="C224" s="127"/>
      <c r="D224" s="476"/>
      <c r="E224" s="477"/>
      <c r="F224" s="477"/>
      <c r="G224" s="477"/>
      <c r="H224" s="477"/>
      <c r="I224" s="477"/>
      <c r="J224" s="477"/>
      <c r="K224" s="477"/>
      <c r="L224" s="477"/>
      <c r="M224" s="477"/>
      <c r="N224" s="477"/>
      <c r="O224" s="478"/>
      <c r="P224" s="278"/>
      <c r="Q224" s="278"/>
      <c r="R224" s="278"/>
      <c r="S224" s="278"/>
      <c r="T224" s="278"/>
      <c r="U224" s="279"/>
    </row>
    <row r="225" spans="2:23" ht="15" customHeight="1" x14ac:dyDescent="0.2">
      <c r="B225" s="45"/>
      <c r="D225" s="476"/>
      <c r="E225" s="477"/>
      <c r="F225" s="477"/>
      <c r="G225" s="477"/>
      <c r="H225" s="477"/>
      <c r="I225" s="477"/>
      <c r="J225" s="477"/>
      <c r="K225" s="477"/>
      <c r="L225" s="477"/>
      <c r="M225" s="477"/>
      <c r="N225" s="477"/>
      <c r="O225" s="478"/>
      <c r="P225" s="278"/>
      <c r="Q225" s="278"/>
      <c r="R225" s="278"/>
      <c r="S225" s="278"/>
      <c r="T225" s="278"/>
      <c r="U225" s="279"/>
    </row>
    <row r="226" spans="2:23" ht="15" customHeight="1" x14ac:dyDescent="0.2">
      <c r="B226" s="45"/>
      <c r="D226" s="476"/>
      <c r="E226" s="477"/>
      <c r="F226" s="477"/>
      <c r="G226" s="477"/>
      <c r="H226" s="477"/>
      <c r="I226" s="477"/>
      <c r="J226" s="477"/>
      <c r="K226" s="477"/>
      <c r="L226" s="477"/>
      <c r="M226" s="477"/>
      <c r="N226" s="477"/>
      <c r="O226" s="478"/>
      <c r="P226" s="278"/>
      <c r="Q226" s="278"/>
      <c r="R226" s="278"/>
      <c r="S226" s="278"/>
      <c r="T226" s="278"/>
      <c r="U226" s="279"/>
    </row>
    <row r="227" spans="2:23" ht="88.5" customHeight="1" x14ac:dyDescent="0.2">
      <c r="B227" s="45"/>
      <c r="D227" s="476"/>
      <c r="E227" s="477"/>
      <c r="F227" s="477"/>
      <c r="G227" s="477"/>
      <c r="H227" s="477"/>
      <c r="I227" s="477"/>
      <c r="J227" s="477"/>
      <c r="K227" s="477"/>
      <c r="L227" s="477"/>
      <c r="M227" s="477"/>
      <c r="N227" s="477"/>
      <c r="O227" s="478"/>
      <c r="P227" s="278"/>
      <c r="Q227" s="278"/>
      <c r="R227" s="278"/>
      <c r="S227" s="278"/>
      <c r="T227" s="278"/>
      <c r="U227" s="279"/>
    </row>
    <row r="228" spans="2:23" ht="112.5" customHeight="1" x14ac:dyDescent="0.2">
      <c r="B228" s="45"/>
      <c r="D228" s="479"/>
      <c r="E228" s="480"/>
      <c r="F228" s="480"/>
      <c r="G228" s="480"/>
      <c r="H228" s="480"/>
      <c r="I228" s="480"/>
      <c r="J228" s="480"/>
      <c r="K228" s="480"/>
      <c r="L228" s="480"/>
      <c r="M228" s="480"/>
      <c r="N228" s="480"/>
      <c r="O228" s="481"/>
      <c r="P228" s="280"/>
      <c r="Q228" s="280"/>
      <c r="R228" s="280"/>
      <c r="S228" s="280"/>
      <c r="T228" s="280"/>
      <c r="U228" s="281"/>
    </row>
    <row r="229" spans="2:23" x14ac:dyDescent="0.2">
      <c r="B229" s="45"/>
    </row>
    <row r="230" spans="2:23" x14ac:dyDescent="0.2">
      <c r="B230" s="45"/>
    </row>
    <row r="231" spans="2:23" ht="4.5" customHeight="1" x14ac:dyDescent="0.2">
      <c r="B231" s="224"/>
      <c r="C231" s="218"/>
      <c r="D231" s="218"/>
      <c r="E231" s="218"/>
      <c r="F231" s="218"/>
      <c r="G231" s="218"/>
      <c r="H231" s="218"/>
      <c r="I231" s="218"/>
      <c r="J231" s="218"/>
      <c r="K231" s="218"/>
      <c r="L231" s="218"/>
      <c r="M231" s="218"/>
      <c r="N231" s="218"/>
      <c r="O231" s="218"/>
      <c r="P231" s="218"/>
      <c r="Q231" s="218"/>
      <c r="R231" s="218"/>
      <c r="S231" s="218"/>
      <c r="T231" s="218"/>
      <c r="U231" s="218"/>
      <c r="V231" s="218"/>
      <c r="W231" s="218"/>
    </row>
    <row r="232" spans="2:23" x14ac:dyDescent="0.2">
      <c r="B232" s="45"/>
    </row>
    <row r="233" spans="2:23" x14ac:dyDescent="0.2">
      <c r="B233" s="45"/>
    </row>
    <row r="234" spans="2:23" x14ac:dyDescent="0.2">
      <c r="B234" s="45"/>
    </row>
    <row r="235" spans="2:23" ht="315" customHeight="1" x14ac:dyDescent="0.2">
      <c r="B235" s="45"/>
    </row>
    <row r="236" spans="2:23" ht="92" x14ac:dyDescent="0.2">
      <c r="B236" s="45"/>
      <c r="C236" s="227" t="s">
        <v>108</v>
      </c>
    </row>
    <row r="237" spans="2:23" ht="3" customHeight="1" x14ac:dyDescent="0.2">
      <c r="B237" s="45"/>
    </row>
    <row r="238" spans="2:23" ht="3" customHeight="1" x14ac:dyDescent="0.2">
      <c r="B238" s="45"/>
      <c r="D238" s="90"/>
      <c r="E238" s="90"/>
      <c r="G238" s="90"/>
    </row>
    <row r="239" spans="2:23" ht="37" x14ac:dyDescent="0.2">
      <c r="B239" s="45"/>
      <c r="C239" s="120"/>
      <c r="D239" s="120"/>
      <c r="E239" s="120"/>
      <c r="F239" s="120"/>
      <c r="G239" s="120"/>
      <c r="J239" s="443">
        <f>'3. Rent &amp; Expenses'!D11</f>
        <v>875</v>
      </c>
      <c r="K239" s="445"/>
      <c r="L239" s="158"/>
      <c r="M239" s="443">
        <f>SUM(H268,'3. Rent &amp; Expenses'!C15,'3. Rent &amp; Expenses'!G15,'3. Rent &amp; Expenses'!K15:L15,'3. Rent &amp; Expenses'!K17:L17,'3. Rent &amp; Expenses'!G17,'3. Rent &amp; Expenses'!C17,'3. Rent &amp; Expenses'!C19,'3. Rent &amp; Expenses'!G19,'3. Rent &amp; Expenses'!D23,'3. Rent &amp; Expenses'!D25,'3. Rent &amp; Expenses'!J23:K23,'3. Rent &amp; Expenses'!J25:K25)</f>
        <v>376.5</v>
      </c>
      <c r="N239" s="445"/>
      <c r="O239" s="158"/>
      <c r="P239" s="460">
        <f>J239-M239</f>
        <v>498.5</v>
      </c>
      <c r="Q239" s="461"/>
    </row>
    <row r="240" spans="2:23" ht="37" x14ac:dyDescent="0.2">
      <c r="B240" s="45"/>
      <c r="E240" s="120"/>
      <c r="F240" s="120"/>
      <c r="G240" s="120"/>
      <c r="J240" s="446" t="s">
        <v>80</v>
      </c>
      <c r="K240" s="448"/>
      <c r="L240" s="158"/>
      <c r="M240" s="446" t="s">
        <v>78</v>
      </c>
      <c r="N240" s="448"/>
      <c r="O240" s="158"/>
      <c r="P240" s="464" t="s">
        <v>81</v>
      </c>
      <c r="Q240" s="465"/>
    </row>
    <row r="241" spans="2:18" ht="37" x14ac:dyDescent="0.2">
      <c r="B241" s="45"/>
      <c r="E241" s="120"/>
      <c r="F241" s="120"/>
      <c r="G241" s="120"/>
      <c r="J241" s="158"/>
      <c r="K241" s="158"/>
      <c r="L241" s="158"/>
      <c r="M241" s="158"/>
      <c r="N241" s="158"/>
      <c r="O241" s="158"/>
      <c r="P241" s="158"/>
      <c r="Q241" s="158"/>
    </row>
    <row r="242" spans="2:18" ht="37" x14ac:dyDescent="0.2">
      <c r="B242" s="45"/>
      <c r="E242" s="120"/>
      <c r="F242" s="120"/>
      <c r="G242" s="120"/>
      <c r="J242" s="162">
        <f>M242/H255</f>
        <v>6.7977272727272733E-2</v>
      </c>
      <c r="K242" s="163"/>
      <c r="L242" s="158"/>
      <c r="M242" s="460">
        <f>(J239-H271)*12</f>
        <v>5982</v>
      </c>
      <c r="N242" s="461"/>
      <c r="O242" s="158"/>
      <c r="P242" s="452">
        <f>H277</f>
        <v>87500</v>
      </c>
      <c r="Q242" s="453"/>
    </row>
    <row r="243" spans="2:18" ht="37" x14ac:dyDescent="0.2">
      <c r="B243" s="45"/>
      <c r="E243" s="120"/>
      <c r="F243" s="120"/>
      <c r="G243" s="120"/>
      <c r="J243" s="446" t="s">
        <v>82</v>
      </c>
      <c r="K243" s="448"/>
      <c r="L243" s="158"/>
      <c r="M243" s="464" t="s">
        <v>83</v>
      </c>
      <c r="N243" s="465"/>
      <c r="O243" s="158"/>
      <c r="P243" s="462" t="s">
        <v>84</v>
      </c>
      <c r="Q243" s="463"/>
    </row>
    <row r="244" spans="2:18" ht="15" customHeight="1" x14ac:dyDescent="0.2">
      <c r="B244" s="45"/>
      <c r="C244" s="120"/>
      <c r="D244" s="120"/>
      <c r="E244" s="120"/>
      <c r="F244" s="120"/>
      <c r="G244" s="120"/>
      <c r="J244" s="158"/>
      <c r="K244" s="158"/>
      <c r="L244" s="158"/>
      <c r="M244" s="158"/>
      <c r="N244" s="158"/>
      <c r="O244" s="158"/>
      <c r="P244" s="158"/>
      <c r="Q244" s="158"/>
    </row>
    <row r="245" spans="2:18" ht="37" x14ac:dyDescent="0.2">
      <c r="B245" s="45"/>
      <c r="C245" s="120"/>
      <c r="D245" s="120"/>
      <c r="E245" s="120"/>
      <c r="F245" s="120"/>
      <c r="G245" s="120"/>
      <c r="J245" s="466">
        <f>(P239*12)/P242</f>
        <v>6.836571428571428E-2</v>
      </c>
      <c r="K245" s="467"/>
      <c r="L245" s="158"/>
      <c r="M245" s="449">
        <f>M242/F247</f>
        <v>7.037647058823529E-2</v>
      </c>
      <c r="N245" s="451"/>
      <c r="O245" s="158"/>
      <c r="P245" s="158"/>
      <c r="Q245" s="158"/>
    </row>
    <row r="246" spans="2:18" ht="37" x14ac:dyDescent="0.2">
      <c r="B246" s="45"/>
      <c r="C246" s="120"/>
      <c r="D246" s="120"/>
      <c r="E246" s="120"/>
      <c r="F246" s="120"/>
      <c r="G246" s="120"/>
      <c r="J246" s="464" t="s">
        <v>85</v>
      </c>
      <c r="K246" s="465"/>
      <c r="L246" s="158"/>
      <c r="M246" s="446" t="s">
        <v>86</v>
      </c>
      <c r="N246" s="448"/>
      <c r="O246" s="158"/>
      <c r="P246" s="158"/>
      <c r="Q246" s="158"/>
    </row>
    <row r="247" spans="2:18" ht="37" x14ac:dyDescent="0.2">
      <c r="B247" s="45"/>
      <c r="C247" s="120"/>
      <c r="D247" s="120"/>
      <c r="E247" s="123"/>
      <c r="F247" s="452">
        <f>'2. Purchase Information'!H9</f>
        <v>85000</v>
      </c>
      <c r="G247" s="453"/>
      <c r="H247" s="282"/>
      <c r="J247" s="158"/>
      <c r="K247" s="158"/>
      <c r="L247" s="158"/>
      <c r="M247" s="158"/>
      <c r="N247" s="158"/>
      <c r="O247" s="158"/>
      <c r="P247" s="452">
        <f>H273</f>
        <v>376.5</v>
      </c>
      <c r="Q247" s="453"/>
    </row>
    <row r="248" spans="2:18" ht="15" customHeight="1" x14ac:dyDescent="0.2">
      <c r="F248" s="454"/>
      <c r="G248" s="455"/>
      <c r="H248" s="282"/>
      <c r="P248" s="454"/>
      <c r="Q248" s="455"/>
    </row>
    <row r="249" spans="2:18" ht="45" customHeight="1" x14ac:dyDescent="0.2">
      <c r="F249" s="456" t="s">
        <v>79</v>
      </c>
      <c r="G249" s="457"/>
      <c r="H249" s="282"/>
      <c r="P249" s="498" t="str">
        <f>F273</f>
        <v>Monthly Expense and P&amp;I</v>
      </c>
      <c r="Q249" s="499"/>
    </row>
    <row r="250" spans="2:18" ht="63.75" customHeight="1" x14ac:dyDescent="0.2">
      <c r="F250" s="458"/>
      <c r="G250" s="459"/>
      <c r="H250" s="282"/>
      <c r="P250" s="500"/>
      <c r="Q250" s="501"/>
    </row>
    <row r="251" spans="2:18" ht="45" customHeight="1" x14ac:dyDescent="0.2">
      <c r="F251" s="158"/>
      <c r="G251" s="158"/>
      <c r="H251" s="158"/>
      <c r="R251" s="46"/>
    </row>
    <row r="252" spans="2:18" ht="45" customHeight="1" x14ac:dyDescent="0.2">
      <c r="B252" s="45"/>
      <c r="F252" s="484" t="s">
        <v>87</v>
      </c>
      <c r="G252" s="485"/>
      <c r="H252" s="283">
        <f>'2. Purchase Information'!D13</f>
        <v>2500</v>
      </c>
      <c r="I252" s="120"/>
      <c r="J252" s="120"/>
      <c r="K252" s="120"/>
      <c r="L252" s="120"/>
      <c r="M252" s="120"/>
      <c r="N252" s="120"/>
      <c r="O252" s="120"/>
      <c r="P252" s="120"/>
      <c r="Q252" s="120"/>
      <c r="R252" s="120"/>
    </row>
    <row r="253" spans="2:18" ht="45" customHeight="1" x14ac:dyDescent="0.2">
      <c r="B253" s="45"/>
      <c r="F253" s="482" t="s">
        <v>88</v>
      </c>
      <c r="G253" s="483"/>
      <c r="H253" s="284">
        <f>'2. Purchase Information'!D11</f>
        <v>0</v>
      </c>
      <c r="I253" s="120"/>
      <c r="J253" s="120"/>
      <c r="K253" s="120"/>
      <c r="L253" s="120"/>
      <c r="M253" s="120"/>
      <c r="N253" s="120"/>
      <c r="O253" s="120"/>
      <c r="P253" s="120"/>
      <c r="Q253" s="120"/>
      <c r="R253" s="120"/>
    </row>
    <row r="254" spans="2:18" ht="45" customHeight="1" x14ac:dyDescent="0.2">
      <c r="B254" s="45"/>
      <c r="F254" s="482" t="s">
        <v>89</v>
      </c>
      <c r="G254" s="483"/>
      <c r="H254" s="284">
        <f>SUM(H252,H253,F247)</f>
        <v>87500</v>
      </c>
      <c r="I254" s="120"/>
      <c r="J254" s="120"/>
      <c r="K254" s="120"/>
      <c r="L254" s="120"/>
      <c r="M254" s="120"/>
      <c r="N254" s="120"/>
      <c r="O254" s="120"/>
      <c r="P254" s="120"/>
      <c r="Q254" s="120"/>
      <c r="R254" s="120"/>
    </row>
    <row r="255" spans="2:18" ht="45" customHeight="1" x14ac:dyDescent="0.2">
      <c r="B255" s="45"/>
      <c r="F255" s="496" t="s">
        <v>90</v>
      </c>
      <c r="G255" s="497"/>
      <c r="H255" s="285">
        <f>'2. Purchase Information'!H11</f>
        <v>88000</v>
      </c>
      <c r="I255" s="120"/>
      <c r="J255" s="120"/>
      <c r="K255" s="120"/>
      <c r="L255" s="120"/>
      <c r="M255" s="120"/>
      <c r="N255" s="120"/>
      <c r="O255" s="120"/>
      <c r="P255" s="120"/>
      <c r="Q255" s="120"/>
      <c r="R255" s="120"/>
    </row>
    <row r="256" spans="2:18" ht="45" customHeight="1" x14ac:dyDescent="0.2">
      <c r="B256" s="45"/>
      <c r="F256" s="294"/>
      <c r="G256" s="294"/>
      <c r="H256" s="294"/>
      <c r="I256" s="120"/>
      <c r="J256" s="120"/>
      <c r="K256" s="120"/>
      <c r="L256" s="120"/>
      <c r="M256" s="120"/>
      <c r="N256" s="120"/>
      <c r="O256" s="120"/>
      <c r="P256" s="120"/>
      <c r="Q256" s="120"/>
      <c r="R256" s="120"/>
    </row>
    <row r="257" spans="2:18" ht="45" customHeight="1" x14ac:dyDescent="0.2">
      <c r="B257" s="45"/>
      <c r="F257" s="484" t="s">
        <v>91</v>
      </c>
      <c r="G257" s="485"/>
      <c r="H257" s="283">
        <f>'2. Purchase Information'!H17</f>
        <v>85000</v>
      </c>
      <c r="I257" s="120"/>
      <c r="J257" s="120"/>
      <c r="K257" s="120"/>
      <c r="L257" s="120"/>
      <c r="M257" s="120"/>
      <c r="N257" s="120"/>
      <c r="O257" s="120"/>
      <c r="P257" s="120"/>
      <c r="Q257" s="120"/>
      <c r="R257" s="120"/>
    </row>
    <row r="258" spans="2:18" ht="45" customHeight="1" x14ac:dyDescent="0.2">
      <c r="B258" s="45"/>
      <c r="F258" s="482" t="s">
        <v>92</v>
      </c>
      <c r="G258" s="483"/>
      <c r="H258" s="284">
        <f>'2. Purchase Information'!H21</f>
        <v>0</v>
      </c>
      <c r="I258" s="120"/>
      <c r="J258" s="120"/>
      <c r="K258" s="120"/>
      <c r="L258" s="120"/>
      <c r="M258" s="120"/>
      <c r="N258" s="120"/>
      <c r="O258" s="120"/>
      <c r="P258" s="120"/>
      <c r="Q258" s="120"/>
      <c r="R258" s="120"/>
    </row>
    <row r="259" spans="2:18" ht="45" customHeight="1" x14ac:dyDescent="0.2">
      <c r="B259" s="45"/>
      <c r="F259" s="482" t="s">
        <v>96</v>
      </c>
      <c r="G259" s="483"/>
      <c r="H259" s="284">
        <f>'2. Purchase Information'!E25</f>
        <v>0</v>
      </c>
      <c r="I259" s="120"/>
      <c r="J259" s="120"/>
      <c r="K259" s="120"/>
      <c r="L259" s="120"/>
      <c r="M259" s="120"/>
      <c r="N259" s="120"/>
      <c r="O259" s="120"/>
      <c r="P259" s="120"/>
      <c r="Q259" s="120"/>
      <c r="R259" s="120"/>
    </row>
    <row r="260" spans="2:18" ht="45" customHeight="1" x14ac:dyDescent="0.2">
      <c r="B260" s="45"/>
      <c r="F260" s="482" t="s">
        <v>93</v>
      </c>
      <c r="G260" s="483"/>
      <c r="H260" s="286">
        <f>'2. Purchase Information'!D23</f>
        <v>15</v>
      </c>
      <c r="I260" s="120"/>
      <c r="J260" s="120"/>
      <c r="K260" s="120"/>
      <c r="L260" s="120"/>
      <c r="M260" s="120"/>
      <c r="N260" s="120"/>
      <c r="O260" s="120"/>
      <c r="P260" s="120"/>
      <c r="Q260" s="120"/>
      <c r="R260" s="120"/>
    </row>
    <row r="261" spans="2:18" ht="45" customHeight="1" x14ac:dyDescent="0.2">
      <c r="B261" s="45"/>
      <c r="F261" s="482" t="s">
        <v>94</v>
      </c>
      <c r="G261" s="483"/>
      <c r="H261" s="287">
        <f>'2. Purchase Information'!D21</f>
        <v>0.08</v>
      </c>
      <c r="I261" s="120"/>
      <c r="J261" s="120"/>
      <c r="K261" s="120"/>
      <c r="L261" s="120"/>
      <c r="M261" s="120"/>
      <c r="N261" s="120"/>
      <c r="O261" s="120"/>
      <c r="P261" s="120"/>
      <c r="Q261" s="120"/>
      <c r="R261" s="120"/>
    </row>
    <row r="262" spans="2:18" ht="45" customHeight="1" x14ac:dyDescent="0.2">
      <c r="B262" s="45"/>
      <c r="F262" s="496" t="s">
        <v>98</v>
      </c>
      <c r="G262" s="497"/>
      <c r="H262" s="285">
        <f>'2. Purchase Information'!D26</f>
        <v>0</v>
      </c>
      <c r="I262" s="120"/>
      <c r="J262" s="120"/>
      <c r="K262" s="120"/>
      <c r="L262" s="120"/>
      <c r="M262" s="120"/>
      <c r="N262" s="120"/>
      <c r="O262" s="120"/>
      <c r="P262" s="120"/>
      <c r="Q262" s="120"/>
      <c r="R262" s="120"/>
    </row>
    <row r="263" spans="2:18" ht="45" customHeight="1" x14ac:dyDescent="0.2">
      <c r="B263" s="45"/>
      <c r="F263" s="294"/>
      <c r="G263" s="294"/>
      <c r="H263" s="294"/>
      <c r="I263" s="120"/>
      <c r="J263" s="120"/>
      <c r="K263" s="120"/>
      <c r="L263" s="120"/>
      <c r="M263" s="120"/>
      <c r="N263" s="120"/>
      <c r="O263" s="120"/>
      <c r="P263" s="120"/>
      <c r="Q263" s="120"/>
      <c r="R263" s="120"/>
    </row>
    <row r="264" spans="2:18" ht="45" customHeight="1" x14ac:dyDescent="0.2">
      <c r="B264" s="45"/>
      <c r="F264" s="484" t="s">
        <v>105</v>
      </c>
      <c r="G264" s="485"/>
      <c r="H264" s="283">
        <f>'3. Rent &amp; Expenses'!D9</f>
        <v>875</v>
      </c>
      <c r="I264" s="120"/>
      <c r="J264" s="120"/>
      <c r="K264" s="120"/>
      <c r="L264" s="120"/>
      <c r="M264" s="120"/>
      <c r="N264" s="120"/>
      <c r="O264" s="120"/>
      <c r="P264" s="120"/>
      <c r="Q264" s="120"/>
      <c r="R264" s="120"/>
    </row>
    <row r="265" spans="2:18" ht="45" customHeight="1" thickBot="1" x14ac:dyDescent="0.25">
      <c r="B265" s="45"/>
      <c r="F265" s="494" t="s">
        <v>104</v>
      </c>
      <c r="G265" s="495"/>
      <c r="H265" s="288">
        <f>'3. Rent &amp; Expenses'!D10</f>
        <v>0</v>
      </c>
      <c r="I265" s="120"/>
      <c r="J265" s="120"/>
      <c r="K265" s="120"/>
      <c r="L265" s="120"/>
      <c r="M265" s="120"/>
      <c r="N265" s="120"/>
      <c r="O265" s="120"/>
      <c r="P265" s="120"/>
      <c r="Q265" s="120"/>
      <c r="R265" s="120"/>
    </row>
    <row r="266" spans="2:18" ht="45" customHeight="1" thickTop="1" x14ac:dyDescent="0.2">
      <c r="B266" s="45"/>
      <c r="F266" s="492" t="s">
        <v>103</v>
      </c>
      <c r="G266" s="493"/>
      <c r="H266" s="285">
        <f>SUM(H264:H265)</f>
        <v>875</v>
      </c>
      <c r="I266" s="120"/>
      <c r="J266" s="120"/>
      <c r="K266" s="120"/>
      <c r="L266" s="120"/>
      <c r="M266" s="120"/>
      <c r="N266" s="120"/>
      <c r="O266" s="120"/>
      <c r="P266" s="120"/>
      <c r="Q266" s="120"/>
      <c r="R266" s="120"/>
    </row>
    <row r="267" spans="2:18" ht="45" customHeight="1" x14ac:dyDescent="0.2">
      <c r="B267" s="45"/>
      <c r="F267" s="294"/>
      <c r="G267" s="294"/>
      <c r="H267" s="294"/>
      <c r="I267" s="120"/>
      <c r="J267" s="120"/>
      <c r="K267" s="120"/>
      <c r="L267" s="120"/>
      <c r="M267" s="120"/>
      <c r="N267" s="120"/>
      <c r="O267" s="120"/>
      <c r="P267" s="120"/>
      <c r="Q267" s="120"/>
      <c r="R267" s="120"/>
    </row>
    <row r="268" spans="2:18" ht="45" customHeight="1" x14ac:dyDescent="0.2">
      <c r="B268" s="45"/>
      <c r="F268" s="484" t="s">
        <v>95</v>
      </c>
      <c r="G268" s="485"/>
      <c r="H268" s="283">
        <f>IF('2. Purchase Information'!D27="no",PMT(H261/12,H260*12,-H258),IPMT(H261/12,1,H260*12,-H258))</f>
        <v>0</v>
      </c>
      <c r="I268" s="120"/>
      <c r="J268" s="120"/>
      <c r="K268" s="120"/>
      <c r="L268" s="120"/>
      <c r="M268" s="120"/>
      <c r="N268" s="120"/>
      <c r="O268" s="120"/>
      <c r="P268" s="120"/>
      <c r="Q268" s="120"/>
      <c r="R268" s="120"/>
    </row>
    <row r="269" spans="2:18" ht="45" customHeight="1" x14ac:dyDescent="0.2">
      <c r="B269" s="45"/>
      <c r="F269" s="482" t="s">
        <v>99</v>
      </c>
      <c r="G269" s="483"/>
      <c r="H269" s="284">
        <f>SUM('3. Rent &amp; Expenses'!C15,'3. Rent &amp; Expenses'!G15,'3. Rent &amp; Expenses'!K15:L15,'3. Rent &amp; Expenses'!K17:L17,'3. Rent &amp; Expenses'!G17,'3. Rent &amp; Expenses'!C17,'3. Rent &amp; Expenses'!C19,'3. Rent &amp; Expenses'!G19)</f>
        <v>184</v>
      </c>
      <c r="I269" s="120"/>
      <c r="J269" s="120"/>
      <c r="K269" s="120"/>
      <c r="L269" s="120"/>
      <c r="M269" s="120"/>
      <c r="N269" s="120"/>
      <c r="O269" s="120"/>
      <c r="P269" s="120"/>
      <c r="Q269" s="120"/>
      <c r="R269" s="120"/>
    </row>
    <row r="270" spans="2:18" ht="45" customHeight="1" thickBot="1" x14ac:dyDescent="0.25">
      <c r="B270" s="45"/>
      <c r="F270" s="494" t="s">
        <v>100</v>
      </c>
      <c r="G270" s="495"/>
      <c r="H270" s="288">
        <f>SUM('3. Rent &amp; Expenses'!D23,'3. Rent &amp; Expenses'!D25,'3. Rent &amp; Expenses'!J23:K23,'3. Rent &amp; Expenses'!J25:K25)</f>
        <v>192.5</v>
      </c>
      <c r="I270" s="120"/>
      <c r="J270" s="120"/>
      <c r="K270" s="120"/>
      <c r="L270" s="120"/>
      <c r="M270" s="120"/>
      <c r="N270" s="120"/>
      <c r="O270" s="120"/>
      <c r="P270" s="120"/>
      <c r="Q270" s="120"/>
      <c r="R270" s="120"/>
    </row>
    <row r="271" spans="2:18" ht="45" customHeight="1" thickTop="1" x14ac:dyDescent="0.2">
      <c r="B271" s="45"/>
      <c r="F271" s="492" t="s">
        <v>101</v>
      </c>
      <c r="G271" s="493"/>
      <c r="H271" s="285">
        <f>SUM(H269:H270)</f>
        <v>376.5</v>
      </c>
      <c r="I271" s="120"/>
      <c r="J271" s="120"/>
      <c r="K271" s="120"/>
      <c r="L271" s="120"/>
      <c r="M271" s="120"/>
      <c r="N271" s="120"/>
      <c r="O271" s="120"/>
      <c r="P271" s="120"/>
      <c r="Q271" s="120"/>
      <c r="R271" s="120"/>
    </row>
    <row r="272" spans="2:18" ht="45" customHeight="1" x14ac:dyDescent="0.2">
      <c r="B272" s="45"/>
      <c r="F272" s="294"/>
      <c r="G272" s="294"/>
      <c r="H272" s="294"/>
      <c r="I272" s="120"/>
      <c r="J272" s="120"/>
      <c r="K272" s="120"/>
      <c r="L272" s="120"/>
      <c r="M272" s="120"/>
      <c r="N272" s="120"/>
      <c r="O272" s="120"/>
      <c r="P272" s="120"/>
      <c r="Q272" s="120"/>
      <c r="R272" s="120"/>
    </row>
    <row r="273" spans="1:22" s="56" customFormat="1" ht="45" customHeight="1" x14ac:dyDescent="0.2">
      <c r="A273" s="55"/>
      <c r="B273" s="45"/>
      <c r="F273" s="490" t="s">
        <v>160</v>
      </c>
      <c r="G273" s="491"/>
      <c r="H273" s="289">
        <f>SUM(H268,H271)</f>
        <v>376.5</v>
      </c>
      <c r="I273" s="120"/>
      <c r="J273" s="120"/>
      <c r="K273" s="120"/>
      <c r="L273" s="120"/>
      <c r="M273" s="120"/>
      <c r="N273" s="120"/>
      <c r="O273" s="120"/>
      <c r="P273" s="120"/>
      <c r="Q273" s="120"/>
      <c r="R273" s="120"/>
      <c r="S273" s="47"/>
      <c r="T273" s="47"/>
      <c r="U273" s="47"/>
      <c r="V273" s="47"/>
    </row>
    <row r="274" spans="1:22" s="56" customFormat="1" ht="37" x14ac:dyDescent="0.2">
      <c r="A274" s="55"/>
      <c r="B274" s="45"/>
      <c r="F274" s="294"/>
      <c r="G274" s="294"/>
      <c r="H274" s="294"/>
      <c r="I274" s="120"/>
      <c r="J274" s="120"/>
      <c r="K274" s="120"/>
      <c r="L274" s="120"/>
      <c r="M274" s="120"/>
      <c r="N274" s="120"/>
      <c r="O274" s="120"/>
      <c r="P274" s="120"/>
      <c r="Q274" s="120"/>
      <c r="R274" s="120"/>
      <c r="S274" s="47"/>
      <c r="T274" s="47"/>
      <c r="U274" s="47"/>
      <c r="V274" s="47"/>
    </row>
    <row r="275" spans="1:22" s="56" customFormat="1" ht="30" customHeight="1" x14ac:dyDescent="0.2">
      <c r="A275" s="55"/>
      <c r="B275" s="45"/>
      <c r="F275" s="488" t="s">
        <v>106</v>
      </c>
      <c r="G275" s="489"/>
      <c r="H275" s="290">
        <f>50%*H266</f>
        <v>437.5</v>
      </c>
      <c r="I275" s="120"/>
      <c r="J275" s="120"/>
      <c r="K275" s="120"/>
      <c r="L275" s="120"/>
      <c r="M275" s="120"/>
      <c r="N275" s="120"/>
      <c r="O275" s="120"/>
      <c r="P275" s="120"/>
      <c r="Q275" s="120"/>
      <c r="R275" s="120"/>
      <c r="S275" s="47"/>
      <c r="T275" s="47"/>
      <c r="U275" s="47"/>
      <c r="V275" s="47"/>
    </row>
    <row r="276" spans="1:22" s="56" customFormat="1" ht="30" customHeight="1" thickBot="1" x14ac:dyDescent="0.25">
      <c r="A276" s="55"/>
      <c r="B276" s="45"/>
      <c r="F276" s="291"/>
      <c r="G276" s="164"/>
      <c r="H276" s="292"/>
      <c r="I276" s="120"/>
      <c r="J276" s="120"/>
      <c r="K276" s="120"/>
      <c r="L276" s="120"/>
      <c r="M276" s="120"/>
      <c r="N276" s="120"/>
      <c r="O276" s="120"/>
      <c r="P276" s="120"/>
      <c r="Q276" s="120"/>
      <c r="R276" s="120"/>
      <c r="S276" s="47"/>
      <c r="T276" s="47"/>
      <c r="U276" s="47"/>
      <c r="V276" s="47"/>
    </row>
    <row r="277" spans="1:22" s="56" customFormat="1" ht="38" thickTop="1" x14ac:dyDescent="0.2">
      <c r="A277" s="55"/>
      <c r="B277" s="45"/>
      <c r="F277" s="486" t="s">
        <v>84</v>
      </c>
      <c r="G277" s="487"/>
      <c r="H277" s="293">
        <f>IF('2. Purchase Information'!K26="no",SUM(Template!H257,Template!H253,Template!H252),SUM(Template!H252,Template!H253,H257,H259,H262))</f>
        <v>87500</v>
      </c>
      <c r="I277" s="120"/>
      <c r="J277" s="120"/>
      <c r="K277" s="120"/>
      <c r="L277" s="120"/>
      <c r="M277" s="120"/>
      <c r="N277" s="120"/>
      <c r="O277" s="120"/>
      <c r="P277" s="120"/>
      <c r="Q277" s="120"/>
      <c r="R277" s="120"/>
      <c r="S277" s="47"/>
      <c r="T277" s="47"/>
      <c r="U277" s="47"/>
      <c r="V277" s="47"/>
    </row>
    <row r="278" spans="1:22" s="56" customFormat="1" ht="30" customHeight="1" x14ac:dyDescent="0.2">
      <c r="A278" s="55"/>
      <c r="B278" s="45"/>
      <c r="C278" s="120"/>
      <c r="D278" s="120"/>
      <c r="E278" s="120"/>
      <c r="F278" s="120"/>
      <c r="I278" s="120"/>
      <c r="J278" s="120"/>
      <c r="K278" s="120"/>
      <c r="L278" s="120"/>
      <c r="M278" s="120"/>
      <c r="N278" s="120"/>
      <c r="O278" s="120"/>
      <c r="P278" s="120"/>
      <c r="Q278" s="120"/>
      <c r="R278" s="120"/>
      <c r="S278" s="47"/>
      <c r="T278" s="47"/>
      <c r="U278" s="47"/>
      <c r="V278" s="47"/>
    </row>
    <row r="279" spans="1:22" s="56" customFormat="1" ht="30" customHeight="1" x14ac:dyDescent="0.2">
      <c r="A279" s="55"/>
      <c r="B279" s="45"/>
      <c r="C279" s="120"/>
      <c r="D279" s="120"/>
      <c r="E279" s="120"/>
      <c r="F279" s="120"/>
      <c r="I279" s="120"/>
      <c r="J279" s="120"/>
      <c r="K279" s="120"/>
      <c r="L279" s="120"/>
      <c r="M279" s="120"/>
      <c r="N279" s="120"/>
      <c r="O279" s="120"/>
      <c r="P279" s="120"/>
      <c r="Q279" s="120"/>
      <c r="R279" s="120"/>
      <c r="S279" s="47"/>
      <c r="T279" s="47"/>
      <c r="U279" s="47"/>
      <c r="V279" s="47"/>
    </row>
    <row r="280" spans="1:22" s="56" customFormat="1" ht="27.75" customHeight="1" x14ac:dyDescent="0.2">
      <c r="A280" s="55"/>
      <c r="B280" s="45"/>
      <c r="C280" s="120"/>
      <c r="D280" s="120"/>
      <c r="E280" s="120"/>
      <c r="F280" s="120"/>
      <c r="I280" s="120"/>
      <c r="J280" s="120"/>
      <c r="K280" s="120"/>
      <c r="L280" s="120"/>
      <c r="M280" s="120"/>
      <c r="N280" s="120"/>
      <c r="O280" s="120"/>
      <c r="P280" s="120"/>
      <c r="Q280" s="120"/>
      <c r="R280" s="120"/>
      <c r="S280" s="47"/>
      <c r="T280" s="47"/>
      <c r="U280" s="47"/>
      <c r="V280" s="47"/>
    </row>
    <row r="281" spans="1:22" s="56" customFormat="1" ht="27.75" customHeight="1" x14ac:dyDescent="0.35">
      <c r="A281" s="55"/>
      <c r="B281" s="45"/>
      <c r="C281" s="120"/>
      <c r="D281" s="120"/>
      <c r="E281" s="120"/>
      <c r="F281" s="156" t="str">
        <f>"¹ The seller finance period is set to a twenty year payoff of a monthly payment of "&amp;DOLLAR(H268,2)&amp;" per month to the current owner."</f>
        <v>¹ The seller finance period is set to a twenty year payoff of a monthly payment of $0.00 per month to the current owner.</v>
      </c>
      <c r="I281" s="120"/>
      <c r="J281" s="120"/>
      <c r="K281" s="120"/>
      <c r="L281" s="120"/>
      <c r="M281" s="120"/>
      <c r="N281" s="120"/>
      <c r="O281" s="120"/>
      <c r="P281" s="120"/>
      <c r="Q281" s="120"/>
      <c r="R281" s="120"/>
      <c r="S281" s="47"/>
      <c r="T281" s="47"/>
      <c r="U281" s="47"/>
      <c r="V281" s="47"/>
    </row>
    <row r="282" spans="1:22" s="56" customFormat="1" ht="27.75" customHeight="1" x14ac:dyDescent="0.35">
      <c r="A282" s="55"/>
      <c r="B282" s="45"/>
      <c r="C282" s="120"/>
      <c r="D282" s="120"/>
      <c r="E282" s="120"/>
      <c r="F282" s="156" t="s">
        <v>139</v>
      </c>
      <c r="I282" s="120"/>
      <c r="J282" s="120"/>
      <c r="K282" s="120"/>
      <c r="L282" s="120"/>
      <c r="M282" s="120"/>
      <c r="N282" s="120"/>
      <c r="O282" s="120"/>
      <c r="P282" s="120"/>
      <c r="Q282" s="120"/>
      <c r="R282" s="120"/>
      <c r="S282" s="47"/>
      <c r="T282" s="47"/>
      <c r="U282" s="47"/>
      <c r="V282" s="47"/>
    </row>
    <row r="283" spans="1:22" s="56" customFormat="1" ht="27.75" customHeight="1" x14ac:dyDescent="0.2">
      <c r="A283" s="55"/>
      <c r="B283" s="45"/>
      <c r="C283" s="120"/>
      <c r="D283" s="120"/>
      <c r="E283" s="120"/>
      <c r="F283" s="46"/>
      <c r="I283" s="120"/>
      <c r="J283" s="120"/>
      <c r="K283" s="120"/>
      <c r="L283" s="120"/>
      <c r="M283" s="120"/>
      <c r="N283" s="120"/>
      <c r="O283" s="120"/>
      <c r="P283" s="120"/>
      <c r="Q283" s="120"/>
      <c r="R283" s="120"/>
      <c r="S283" s="47"/>
      <c r="T283" s="47"/>
      <c r="U283" s="47"/>
      <c r="V283" s="47"/>
    </row>
    <row r="284" spans="1:22" s="56" customFormat="1" ht="27.75" customHeight="1" x14ac:dyDescent="0.2">
      <c r="A284" s="55"/>
      <c r="B284" s="45"/>
      <c r="C284" s="120"/>
      <c r="D284" s="120"/>
      <c r="E284" s="120"/>
      <c r="F284" s="46"/>
      <c r="I284" s="120"/>
      <c r="J284" s="120"/>
      <c r="K284" s="120"/>
      <c r="L284" s="120"/>
      <c r="M284" s="120"/>
      <c r="N284" s="120"/>
      <c r="O284" s="120"/>
      <c r="P284" s="120"/>
      <c r="Q284" s="120"/>
      <c r="R284" s="120"/>
      <c r="S284" s="47"/>
      <c r="T284" s="47"/>
      <c r="U284" s="47"/>
      <c r="V284" s="47"/>
    </row>
    <row r="285" spans="1:22" s="56" customFormat="1" ht="30" customHeight="1" x14ac:dyDescent="0.2">
      <c r="A285" s="55"/>
      <c r="B285" s="45"/>
      <c r="C285" s="120"/>
      <c r="D285" s="120"/>
      <c r="E285" s="120"/>
      <c r="F285" s="120"/>
      <c r="I285" s="120"/>
      <c r="J285" s="120"/>
      <c r="K285" s="120"/>
      <c r="L285" s="120"/>
      <c r="M285" s="120"/>
      <c r="N285" s="120"/>
      <c r="O285" s="120"/>
      <c r="P285" s="120"/>
      <c r="Q285" s="120"/>
      <c r="R285" s="120"/>
      <c r="S285" s="47"/>
      <c r="T285" s="47"/>
      <c r="U285" s="47"/>
      <c r="V285" s="47"/>
    </row>
    <row r="286" spans="1:22" s="56" customFormat="1" ht="30" customHeight="1" x14ac:dyDescent="0.2">
      <c r="A286" s="55"/>
      <c r="B286" s="45"/>
      <c r="C286" s="120"/>
      <c r="D286" s="120"/>
      <c r="E286" s="120"/>
      <c r="F286" s="120"/>
      <c r="I286" s="120"/>
      <c r="J286" s="120"/>
      <c r="K286" s="120"/>
      <c r="L286" s="120"/>
      <c r="M286" s="120"/>
      <c r="N286" s="120"/>
      <c r="O286" s="120"/>
      <c r="P286" s="120"/>
      <c r="Q286" s="120"/>
      <c r="R286" s="120"/>
      <c r="S286" s="47"/>
      <c r="T286" s="47"/>
      <c r="U286" s="47"/>
      <c r="V286" s="47"/>
    </row>
    <row r="287" spans="1:22" s="56" customFormat="1" ht="30" customHeight="1" x14ac:dyDescent="0.2">
      <c r="A287" s="55"/>
    </row>
    <row r="288" spans="1:22" s="56" customFormat="1" ht="30" customHeight="1" x14ac:dyDescent="0.2">
      <c r="A288" s="55"/>
    </row>
    <row r="289" spans="1:23" ht="5" customHeight="1" x14ac:dyDescent="0.2">
      <c r="B289" s="218"/>
      <c r="C289" s="218"/>
      <c r="D289" s="225"/>
      <c r="E289" s="218"/>
      <c r="F289" s="218"/>
      <c r="G289" s="218"/>
      <c r="H289" s="218"/>
      <c r="I289" s="218"/>
      <c r="J289" s="218"/>
      <c r="K289" s="218"/>
      <c r="L289" s="218"/>
      <c r="M289" s="218"/>
      <c r="N289" s="218"/>
      <c r="O289" s="218"/>
      <c r="P289" s="218"/>
      <c r="Q289" s="218"/>
      <c r="R289" s="218"/>
      <c r="S289" s="218"/>
      <c r="T289" s="218"/>
      <c r="U289" s="218"/>
      <c r="V289" s="218"/>
      <c r="W289" s="218"/>
    </row>
    <row r="290" spans="1:23" s="56" customFormat="1" ht="30" customHeight="1" x14ac:dyDescent="0.2">
      <c r="A290" s="55"/>
    </row>
    <row r="291" spans="1:23" s="56" customFormat="1" ht="30" customHeight="1" x14ac:dyDescent="0.2">
      <c r="A291" s="55"/>
    </row>
    <row r="292" spans="1:23" s="56" customFormat="1" ht="30" customHeight="1" x14ac:dyDescent="0.2">
      <c r="A292" s="55"/>
    </row>
    <row r="293" spans="1:23" s="56" customFormat="1" ht="30" customHeight="1" x14ac:dyDescent="0.2">
      <c r="A293" s="55"/>
    </row>
    <row r="294" spans="1:23" s="56" customFormat="1" ht="30" customHeight="1" x14ac:dyDescent="0.2">
      <c r="A294" s="55"/>
      <c r="B294" s="45"/>
      <c r="C294" s="120"/>
      <c r="D294" s="120"/>
      <c r="E294" s="120"/>
      <c r="F294" s="120"/>
      <c r="G294" s="120"/>
      <c r="H294" s="120"/>
      <c r="I294" s="120"/>
      <c r="J294" s="120"/>
      <c r="K294" s="120"/>
      <c r="L294" s="120"/>
      <c r="M294" s="120"/>
      <c r="N294" s="120"/>
      <c r="O294" s="120"/>
      <c r="P294" s="120"/>
      <c r="Q294" s="46"/>
      <c r="R294" s="47"/>
      <c r="S294" s="47"/>
      <c r="T294" s="47"/>
      <c r="U294" s="47"/>
      <c r="V294" s="47"/>
      <c r="W294" s="47"/>
    </row>
    <row r="295" spans="1:23" s="56" customFormat="1" ht="92" x14ac:dyDescent="0.2">
      <c r="A295" s="55"/>
      <c r="B295" s="45"/>
      <c r="C295" s="227" t="s">
        <v>109</v>
      </c>
      <c r="D295" s="125"/>
      <c r="E295" s="125"/>
      <c r="F295" s="120"/>
      <c r="G295" s="120"/>
      <c r="H295" s="120"/>
      <c r="I295" s="120"/>
      <c r="J295" s="120"/>
      <c r="K295" s="120"/>
      <c r="L295" s="120"/>
      <c r="M295" s="120"/>
      <c r="N295" s="120"/>
      <c r="O295" s="120"/>
      <c r="P295" s="120"/>
      <c r="Q295" s="46"/>
      <c r="R295" s="47"/>
      <c r="S295" s="47"/>
      <c r="T295" s="47"/>
      <c r="U295" s="47"/>
      <c r="V295" s="47"/>
      <c r="W295" s="47"/>
    </row>
    <row r="296" spans="1:23" s="56" customFormat="1" ht="30" customHeight="1" x14ac:dyDescent="0.2">
      <c r="A296" s="55"/>
      <c r="B296" s="45"/>
      <c r="C296" s="120"/>
      <c r="D296" s="120"/>
      <c r="E296" s="120"/>
      <c r="F296" s="120"/>
      <c r="G296" s="120"/>
      <c r="H296" s="120"/>
      <c r="I296" s="120"/>
      <c r="J296" s="120"/>
      <c r="K296" s="120"/>
      <c r="L296" s="120"/>
      <c r="M296" s="120"/>
      <c r="N296" s="120"/>
      <c r="O296" s="120"/>
      <c r="P296" s="120"/>
      <c r="Q296" s="46"/>
      <c r="R296" s="47"/>
      <c r="S296" s="47"/>
      <c r="T296" s="47"/>
      <c r="U296" s="47"/>
      <c r="V296" s="47"/>
      <c r="W296" s="47"/>
    </row>
    <row r="297" spans="1:23" s="56" customFormat="1" ht="30" customHeight="1" x14ac:dyDescent="0.2">
      <c r="A297" s="55"/>
      <c r="B297" s="45"/>
      <c r="C297" s="120"/>
      <c r="D297" s="120"/>
      <c r="E297" s="120"/>
      <c r="F297" s="125"/>
      <c r="G297" s="120"/>
      <c r="H297" s="120"/>
      <c r="I297" s="120"/>
      <c r="J297" s="120"/>
      <c r="K297" s="120"/>
      <c r="L297" s="120"/>
      <c r="M297" s="120"/>
      <c r="N297" s="120"/>
      <c r="O297" s="120"/>
      <c r="P297" s="120"/>
      <c r="Q297" s="46"/>
      <c r="R297" s="47"/>
      <c r="S297" s="47"/>
      <c r="T297" s="47"/>
      <c r="U297" s="47"/>
      <c r="V297" s="47"/>
      <c r="W297" s="47"/>
    </row>
    <row r="298" spans="1:23" s="56" customFormat="1" ht="30" customHeight="1" x14ac:dyDescent="0.45">
      <c r="A298" s="55"/>
      <c r="B298" s="45"/>
      <c r="C298" s="120"/>
      <c r="D298" s="120"/>
      <c r="E298" s="120"/>
      <c r="F298" s="157">
        <f>H264/F301</f>
        <v>1.0294117647058823E-2</v>
      </c>
      <c r="G298" s="158"/>
      <c r="H298" s="159"/>
      <c r="I298" s="443">
        <f>(H255-H258)</f>
        <v>88000</v>
      </c>
      <c r="J298" s="444"/>
      <c r="K298" s="445"/>
      <c r="L298" s="158"/>
      <c r="M298" s="159"/>
      <c r="N298" s="449">
        <f>'2. Purchase Information'!D28</f>
        <v>6.5000000000000002E-2</v>
      </c>
      <c r="O298" s="450"/>
      <c r="P298" s="451"/>
      <c r="Q298" s="46"/>
      <c r="R298" s="47"/>
      <c r="S298" s="47"/>
      <c r="T298" s="47"/>
      <c r="U298" s="47"/>
      <c r="V298" s="47"/>
      <c r="W298" s="47"/>
    </row>
    <row r="299" spans="1:23" s="56" customFormat="1" ht="30" customHeight="1" x14ac:dyDescent="0.45">
      <c r="A299" s="55"/>
      <c r="B299" s="45"/>
      <c r="C299" s="120"/>
      <c r="D299" s="120"/>
      <c r="E299" s="47"/>
      <c r="F299" s="160" t="s">
        <v>110</v>
      </c>
      <c r="G299" s="158"/>
      <c r="H299" s="159"/>
      <c r="I299" s="446" t="s">
        <v>111</v>
      </c>
      <c r="J299" s="447"/>
      <c r="K299" s="448"/>
      <c r="L299" s="158"/>
      <c r="M299" s="159"/>
      <c r="N299" s="446" t="s">
        <v>112</v>
      </c>
      <c r="O299" s="447"/>
      <c r="P299" s="448"/>
      <c r="Q299" s="46"/>
      <c r="R299" s="47"/>
      <c r="S299" s="47"/>
      <c r="T299" s="47"/>
      <c r="U299" s="47"/>
      <c r="V299" s="47"/>
      <c r="W299" s="47"/>
    </row>
    <row r="300" spans="1:23" s="56" customFormat="1" ht="30" customHeight="1" x14ac:dyDescent="0.45">
      <c r="A300" s="55"/>
      <c r="B300" s="45"/>
      <c r="C300" s="120"/>
      <c r="D300" s="120"/>
      <c r="E300" s="47"/>
      <c r="F300" s="158"/>
      <c r="G300" s="158"/>
      <c r="H300" s="159"/>
      <c r="I300" s="158"/>
      <c r="J300" s="158"/>
      <c r="K300" s="158"/>
      <c r="L300" s="158"/>
      <c r="M300" s="159"/>
      <c r="N300" s="158"/>
      <c r="O300" s="158"/>
      <c r="P300" s="158"/>
      <c r="Q300" s="46"/>
      <c r="R300" s="47"/>
      <c r="S300" s="47"/>
      <c r="T300" s="47"/>
      <c r="U300" s="47"/>
      <c r="V300" s="47"/>
      <c r="W300" s="47"/>
    </row>
    <row r="301" spans="1:23" ht="30" customHeight="1" x14ac:dyDescent="0.2">
      <c r="B301" s="45"/>
      <c r="C301" s="120"/>
      <c r="D301" s="120"/>
      <c r="F301" s="161">
        <f>F247+(H253*40.4%)</f>
        <v>85000</v>
      </c>
      <c r="G301" s="158"/>
      <c r="H301" s="158"/>
      <c r="I301" s="504" t="e">
        <f>M242/(H268*12)</f>
        <v>#DIV/0!</v>
      </c>
      <c r="J301" s="505"/>
      <c r="K301" s="506"/>
      <c r="L301" s="158"/>
      <c r="M301" s="158"/>
      <c r="N301" s="504">
        <f>F247/(H266*12)</f>
        <v>8.0952380952380949</v>
      </c>
      <c r="O301" s="505"/>
      <c r="P301" s="506"/>
    </row>
    <row r="302" spans="1:23" ht="30" customHeight="1" x14ac:dyDescent="0.2">
      <c r="B302" s="45"/>
      <c r="C302" s="120"/>
      <c r="D302" s="120"/>
      <c r="F302" s="160" t="s">
        <v>115</v>
      </c>
      <c r="G302" s="158"/>
      <c r="H302" s="158"/>
      <c r="I302" s="446" t="s">
        <v>114</v>
      </c>
      <c r="J302" s="447"/>
      <c r="K302" s="448"/>
      <c r="L302" s="158"/>
      <c r="M302" s="158"/>
      <c r="N302" s="446" t="s">
        <v>113</v>
      </c>
      <c r="O302" s="447"/>
      <c r="P302" s="448"/>
    </row>
    <row r="303" spans="1:23" ht="30" customHeight="1" x14ac:dyDescent="0.2">
      <c r="B303" s="45"/>
      <c r="C303" s="120"/>
      <c r="D303" s="120"/>
    </row>
    <row r="304" spans="1:23" ht="30" customHeight="1" x14ac:dyDescent="0.2">
      <c r="B304" s="45"/>
      <c r="C304" s="120"/>
      <c r="D304" s="120"/>
    </row>
    <row r="305" spans="2:23" ht="30" customHeight="1" x14ac:dyDescent="0.2">
      <c r="B305" s="45"/>
      <c r="C305" s="120"/>
      <c r="D305" s="120"/>
    </row>
    <row r="306" spans="2:23" ht="30" customHeight="1" x14ac:dyDescent="0.2">
      <c r="B306" s="45"/>
      <c r="C306" s="120"/>
      <c r="D306" s="120"/>
    </row>
    <row r="307" spans="2:23" ht="30" customHeight="1" x14ac:dyDescent="0.2">
      <c r="B307" s="45"/>
      <c r="C307" s="120"/>
      <c r="D307" s="120"/>
    </row>
    <row r="308" spans="2:23" ht="30" customHeight="1" x14ac:dyDescent="0.2">
      <c r="B308" s="45"/>
      <c r="C308" s="120"/>
      <c r="D308" s="120"/>
      <c r="O308" s="120"/>
      <c r="P308" s="120"/>
    </row>
    <row r="309" spans="2:23" ht="30" customHeight="1" x14ac:dyDescent="0.2">
      <c r="B309" s="45"/>
      <c r="C309" s="120"/>
      <c r="D309" s="120"/>
      <c r="N309" s="120"/>
      <c r="O309" s="120"/>
      <c r="P309" s="120"/>
    </row>
    <row r="310" spans="2:23" ht="30" customHeight="1" x14ac:dyDescent="0.2">
      <c r="B310" s="45"/>
      <c r="C310" s="120"/>
      <c r="D310" s="120"/>
      <c r="G310" s="243"/>
      <c r="H310" s="243"/>
      <c r="N310" s="120"/>
      <c r="O310" s="120"/>
      <c r="P310" s="120"/>
    </row>
    <row r="311" spans="2:23" ht="30" customHeight="1" x14ac:dyDescent="0.2">
      <c r="B311" s="45"/>
      <c r="C311" s="120"/>
      <c r="D311" s="120"/>
      <c r="N311" s="120"/>
      <c r="O311" s="120"/>
      <c r="P311" s="120"/>
    </row>
    <row r="312" spans="2:23" ht="30" customHeight="1" x14ac:dyDescent="0.2">
      <c r="B312" s="45"/>
      <c r="C312" s="120"/>
      <c r="D312" s="120"/>
      <c r="E312" s="124"/>
      <c r="F312" s="120"/>
      <c r="G312" s="124"/>
      <c r="H312" s="124"/>
      <c r="I312" s="124"/>
      <c r="J312" s="120"/>
      <c r="K312" s="124"/>
      <c r="L312" s="124"/>
      <c r="M312" s="124"/>
      <c r="N312" s="120"/>
      <c r="O312" s="120"/>
      <c r="P312" s="120"/>
    </row>
    <row r="313" spans="2:23" ht="30" customHeight="1" x14ac:dyDescent="0.2">
      <c r="B313" s="45"/>
      <c r="C313" s="120"/>
      <c r="D313" s="120"/>
      <c r="E313" s="124"/>
      <c r="F313" s="120"/>
      <c r="G313" s="124"/>
      <c r="H313" s="124"/>
      <c r="I313" s="124"/>
      <c r="J313" s="120"/>
      <c r="K313" s="124"/>
      <c r="L313" s="124"/>
      <c r="M313" s="124"/>
      <c r="N313" s="120"/>
      <c r="O313" s="120"/>
      <c r="P313" s="120"/>
    </row>
    <row r="314" spans="2:23" ht="30" customHeight="1" x14ac:dyDescent="0.2">
      <c r="B314" s="45"/>
      <c r="E314" s="50"/>
      <c r="G314" s="50"/>
      <c r="H314" s="50"/>
      <c r="I314" s="50"/>
      <c r="K314" s="50"/>
      <c r="L314" s="50"/>
      <c r="M314" s="50"/>
    </row>
    <row r="315" spans="2:23" ht="5" customHeight="1" x14ac:dyDescent="0.2">
      <c r="B315" s="218"/>
      <c r="C315" s="218"/>
      <c r="D315" s="225"/>
      <c r="E315" s="218"/>
      <c r="F315" s="218"/>
      <c r="G315" s="218"/>
      <c r="H315" s="218"/>
      <c r="I315" s="218"/>
      <c r="J315" s="218"/>
      <c r="K315" s="218"/>
      <c r="L315" s="218"/>
      <c r="M315" s="218"/>
      <c r="N315" s="218"/>
      <c r="O315" s="218"/>
      <c r="P315" s="218"/>
      <c r="Q315" s="218"/>
      <c r="R315" s="218"/>
      <c r="S315" s="218"/>
      <c r="T315" s="218"/>
      <c r="U315" s="218"/>
      <c r="V315" s="218"/>
      <c r="W315" s="218"/>
    </row>
    <row r="316" spans="2:23" x14ac:dyDescent="0.2">
      <c r="B316" s="45"/>
      <c r="E316" s="50"/>
      <c r="G316" s="50"/>
      <c r="H316" s="50"/>
      <c r="I316" s="50"/>
      <c r="K316" s="50"/>
      <c r="L316" s="50"/>
      <c r="M316" s="50"/>
    </row>
    <row r="317" spans="2:23" x14ac:dyDescent="0.2">
      <c r="B317" s="45"/>
      <c r="E317" s="50"/>
      <c r="G317" s="50"/>
      <c r="H317" s="50"/>
      <c r="I317" s="50"/>
      <c r="K317" s="50"/>
      <c r="L317" s="50"/>
      <c r="M317" s="50"/>
    </row>
    <row r="318" spans="2:23" ht="24" x14ac:dyDescent="0.2">
      <c r="D318" s="120"/>
      <c r="E318" s="120"/>
      <c r="F318" s="50"/>
      <c r="H318" s="50"/>
      <c r="I318" s="50"/>
      <c r="K318" s="50"/>
      <c r="L318" s="50"/>
      <c r="M318" s="50"/>
    </row>
    <row r="332" spans="3:8" ht="92" x14ac:dyDescent="0.2">
      <c r="C332" s="227" t="s">
        <v>116</v>
      </c>
      <c r="H332" s="295" t="s">
        <v>161</v>
      </c>
    </row>
    <row r="333" spans="3:8" ht="19" x14ac:dyDescent="0.2">
      <c r="D333" s="90"/>
      <c r="E333" s="90"/>
      <c r="F333" s="90"/>
    </row>
    <row r="334" spans="3:8" ht="19" x14ac:dyDescent="0.2">
      <c r="D334" s="90"/>
      <c r="E334" s="90"/>
      <c r="F334" s="90"/>
    </row>
    <row r="338" spans="5:17" ht="24" x14ac:dyDescent="0.2">
      <c r="E338" s="120"/>
      <c r="F338" s="120"/>
      <c r="G338" s="120"/>
      <c r="H338" s="120"/>
      <c r="I338" s="120"/>
      <c r="J338" s="120"/>
      <c r="K338" s="120"/>
      <c r="L338" s="120"/>
      <c r="M338" s="120"/>
      <c r="N338" s="120"/>
      <c r="O338" s="120"/>
    </row>
    <row r="340" spans="5:17" ht="37" x14ac:dyDescent="0.45">
      <c r="F340" s="158"/>
      <c r="G340" s="158"/>
      <c r="H340" s="158"/>
      <c r="I340" s="158"/>
      <c r="J340" s="158"/>
      <c r="K340" s="158"/>
      <c r="L340" s="158"/>
      <c r="M340" s="158"/>
      <c r="N340" s="158"/>
      <c r="O340" s="165"/>
      <c r="P340" s="158"/>
      <c r="Q340" s="158"/>
    </row>
    <row r="341" spans="5:17" ht="37" x14ac:dyDescent="0.2">
      <c r="E341" s="47"/>
      <c r="F341" s="158"/>
      <c r="G341" s="158"/>
      <c r="H341" s="449">
        <f>'3. Rent &amp; Expenses'!J29</f>
        <v>0.02</v>
      </c>
      <c r="I341" s="451"/>
      <c r="J341" s="158"/>
      <c r="K341" s="449">
        <f>'3. Rent &amp; Expenses'!D29</f>
        <v>0.02</v>
      </c>
      <c r="L341" s="451"/>
      <c r="M341" s="158"/>
      <c r="N341" s="449">
        <f>'3. Rent &amp; Expenses'!D30</f>
        <v>0.02</v>
      </c>
      <c r="O341" s="450"/>
      <c r="P341" s="451"/>
      <c r="Q341" s="158"/>
    </row>
    <row r="342" spans="5:17" ht="37" x14ac:dyDescent="0.2">
      <c r="E342" s="47"/>
      <c r="F342" s="158"/>
      <c r="G342" s="158"/>
      <c r="H342" s="446" t="s">
        <v>117</v>
      </c>
      <c r="I342" s="448"/>
      <c r="J342" s="158"/>
      <c r="K342" s="446" t="s">
        <v>118</v>
      </c>
      <c r="L342" s="448"/>
      <c r="M342" s="158"/>
      <c r="N342" s="446" t="s">
        <v>119</v>
      </c>
      <c r="O342" s="447"/>
      <c r="P342" s="448"/>
      <c r="Q342" s="158"/>
    </row>
    <row r="343" spans="5:17" ht="37" x14ac:dyDescent="0.45">
      <c r="E343" s="47"/>
      <c r="F343" s="158"/>
      <c r="G343" s="158"/>
      <c r="H343" s="158"/>
      <c r="I343" s="158"/>
      <c r="J343" s="158"/>
      <c r="K343" s="166"/>
      <c r="L343" s="166"/>
      <c r="M343" s="158"/>
      <c r="N343" s="166"/>
      <c r="O343" s="166"/>
      <c r="P343" s="166"/>
      <c r="Q343" s="158"/>
    </row>
    <row r="344" spans="5:17" ht="60" customHeight="1" x14ac:dyDescent="0.45">
      <c r="E344" s="47"/>
      <c r="F344" s="166"/>
      <c r="G344" s="254">
        <v>1</v>
      </c>
      <c r="H344" s="255">
        <v>2</v>
      </c>
      <c r="I344" s="255">
        <v>3</v>
      </c>
      <c r="J344" s="255">
        <v>4</v>
      </c>
      <c r="K344" s="255">
        <v>5</v>
      </c>
      <c r="L344" s="255">
        <v>10</v>
      </c>
      <c r="M344" s="255">
        <v>15</v>
      </c>
      <c r="N344" s="255">
        <v>20</v>
      </c>
      <c r="O344" s="255">
        <v>25</v>
      </c>
      <c r="P344" s="256">
        <v>30</v>
      </c>
      <c r="Q344" s="158"/>
    </row>
    <row r="345" spans="5:17" ht="76" x14ac:dyDescent="0.2">
      <c r="E345" s="47"/>
      <c r="F345" s="248" t="s">
        <v>120</v>
      </c>
      <c r="G345" s="167">
        <f>'4. Report'!C104</f>
        <v>10500</v>
      </c>
      <c r="H345" s="168">
        <f>'4. Report'!D104</f>
        <v>10710</v>
      </c>
      <c r="I345" s="168">
        <f>'4. Report'!E104</f>
        <v>10924.2</v>
      </c>
      <c r="J345" s="168">
        <f>'4. Report'!F104</f>
        <v>11142.683999999999</v>
      </c>
      <c r="K345" s="168">
        <f>'4. Report'!G104</f>
        <v>11365.537679999999</v>
      </c>
      <c r="L345" s="168">
        <f>'4. Report'!H104</f>
        <v>12548.471970534263</v>
      </c>
      <c r="M345" s="168">
        <f>'4. Report'!I104</f>
        <v>13854.527012160157</v>
      </c>
      <c r="N345" s="168">
        <f>'4. Report'!J104</f>
        <v>15296.51731154188</v>
      </c>
      <c r="O345" s="168">
        <f>'4. Report'!K104</f>
        <v>16888.591119489862</v>
      </c>
      <c r="P345" s="169">
        <f>'4. Report'!L104</f>
        <v>18646.369248122755</v>
      </c>
      <c r="Q345" s="158"/>
    </row>
    <row r="346" spans="5:17" ht="37" x14ac:dyDescent="0.2">
      <c r="E346" s="47"/>
      <c r="F346" s="249"/>
      <c r="G346" s="170"/>
      <c r="H346" s="171"/>
      <c r="I346" s="171"/>
      <c r="J346" s="171"/>
      <c r="K346" s="171"/>
      <c r="L346" s="171"/>
      <c r="M346" s="171"/>
      <c r="N346" s="171"/>
      <c r="O346" s="171"/>
      <c r="P346" s="172"/>
      <c r="Q346" s="158"/>
    </row>
    <row r="347" spans="5:17" ht="38" x14ac:dyDescent="0.2">
      <c r="E347" s="47"/>
      <c r="F347" s="249" t="s">
        <v>121</v>
      </c>
      <c r="G347" s="170">
        <f>'4. Report'!C106</f>
        <v>4518</v>
      </c>
      <c r="H347" s="171">
        <f>'4. Report'!D106</f>
        <v>4608.3599999999997</v>
      </c>
      <c r="I347" s="171">
        <f>'4. Report'!E106</f>
        <v>4700.5271999999995</v>
      </c>
      <c r="J347" s="171">
        <f>'4. Report'!F106</f>
        <v>4794.5377439999993</v>
      </c>
      <c r="K347" s="171">
        <f>'4. Report'!G106</f>
        <v>4890.42849888</v>
      </c>
      <c r="L347" s="171">
        <f>'4. Report'!H106</f>
        <v>5399.4282250356</v>
      </c>
      <c r="M347" s="171">
        <f>'4. Report'!I106</f>
        <v>5961.4050515180561</v>
      </c>
      <c r="N347" s="171">
        <f>'4. Report'!J106</f>
        <v>6581.8728774805923</v>
      </c>
      <c r="O347" s="171">
        <f>'4. Report'!K106</f>
        <v>7266.9194931290667</v>
      </c>
      <c r="P347" s="172">
        <f>'4. Report'!L106</f>
        <v>8023.2663107636772</v>
      </c>
      <c r="Q347" s="158"/>
    </row>
    <row r="348" spans="5:17" ht="76" x14ac:dyDescent="0.2">
      <c r="E348" s="47"/>
      <c r="F348" s="250" t="s">
        <v>122</v>
      </c>
      <c r="G348" s="170">
        <f>'4. Report'!C107</f>
        <v>4518</v>
      </c>
      <c r="H348" s="171">
        <f>'4. Report'!D107</f>
        <v>4608.3599999999997</v>
      </c>
      <c r="I348" s="171">
        <f>'4. Report'!E107</f>
        <v>4700.5271999999995</v>
      </c>
      <c r="J348" s="171">
        <f>'4. Report'!F107</f>
        <v>4794.5377439999993</v>
      </c>
      <c r="K348" s="171">
        <f>'4. Report'!G107</f>
        <v>4890.42849888</v>
      </c>
      <c r="L348" s="171">
        <f>'4. Report'!H107</f>
        <v>5399.4282250356</v>
      </c>
      <c r="M348" s="171">
        <f>'4. Report'!I107</f>
        <v>5961.4050515180561</v>
      </c>
      <c r="N348" s="171">
        <f>'4. Report'!J107</f>
        <v>6581.8728774805923</v>
      </c>
      <c r="O348" s="171">
        <f>'4. Report'!K107</f>
        <v>7266.9194931290667</v>
      </c>
      <c r="P348" s="172">
        <f>'4. Report'!L107</f>
        <v>8023.2663107636772</v>
      </c>
      <c r="Q348" s="158"/>
    </row>
    <row r="349" spans="5:17" ht="39" thickBot="1" x14ac:dyDescent="0.25">
      <c r="E349" s="47"/>
      <c r="F349" s="251" t="s">
        <v>123</v>
      </c>
      <c r="G349" s="173">
        <f>'4. Report'!C108</f>
        <v>0</v>
      </c>
      <c r="H349" s="174">
        <f>'4. Report'!D108</f>
        <v>0</v>
      </c>
      <c r="I349" s="174">
        <f>'4. Report'!E108</f>
        <v>0</v>
      </c>
      <c r="J349" s="174">
        <f>'4. Report'!F108</f>
        <v>0</v>
      </c>
      <c r="K349" s="174">
        <f>'4. Report'!G108</f>
        <v>0</v>
      </c>
      <c r="L349" s="174">
        <f>'4. Report'!H108</f>
        <v>0</v>
      </c>
      <c r="M349" s="174">
        <f>'4. Report'!I108</f>
        <v>0</v>
      </c>
      <c r="N349" s="174">
        <f>'4. Report'!J108</f>
        <v>0</v>
      </c>
      <c r="O349" s="174">
        <f>'4. Report'!K108</f>
        <v>0</v>
      </c>
      <c r="P349" s="175">
        <f>'4. Report'!L108</f>
        <v>0</v>
      </c>
      <c r="Q349" s="158"/>
    </row>
    <row r="350" spans="5:17" ht="77" thickTop="1" x14ac:dyDescent="0.2">
      <c r="E350" s="47"/>
      <c r="F350" s="249" t="s">
        <v>124</v>
      </c>
      <c r="G350" s="170">
        <f>'4. Report'!C109</f>
        <v>5982</v>
      </c>
      <c r="H350" s="171">
        <f>'4. Report'!D109</f>
        <v>6101.64</v>
      </c>
      <c r="I350" s="171">
        <f>'4. Report'!E109</f>
        <v>6223.6728000000012</v>
      </c>
      <c r="J350" s="171">
        <f>'4. Report'!F109</f>
        <v>6348.146256</v>
      </c>
      <c r="K350" s="171">
        <f>'4. Report'!G109</f>
        <v>6475.1091811199994</v>
      </c>
      <c r="L350" s="171">
        <f>'4. Report'!H109</f>
        <v>7149.0437454986632</v>
      </c>
      <c r="M350" s="171">
        <f>'4. Report'!I109</f>
        <v>7893.1219606421009</v>
      </c>
      <c r="N350" s="171">
        <f>'4. Report'!J109</f>
        <v>8714.644434061287</v>
      </c>
      <c r="O350" s="171">
        <f>'4. Report'!K109</f>
        <v>9621.6716263607959</v>
      </c>
      <c r="P350" s="172">
        <f>'4. Report'!L109</f>
        <v>10623.102937359079</v>
      </c>
      <c r="Q350" s="158"/>
    </row>
    <row r="351" spans="5:17" ht="37" x14ac:dyDescent="0.2">
      <c r="E351" s="47"/>
      <c r="F351" s="249"/>
      <c r="G351" s="176"/>
      <c r="H351" s="177"/>
      <c r="I351" s="177"/>
      <c r="J351" s="177"/>
      <c r="K351" s="177"/>
      <c r="L351" s="177"/>
      <c r="M351" s="177"/>
      <c r="N351" s="177"/>
      <c r="O351" s="177"/>
      <c r="P351" s="178"/>
      <c r="Q351" s="158"/>
    </row>
    <row r="352" spans="5:17" ht="38" x14ac:dyDescent="0.2">
      <c r="E352" s="47"/>
      <c r="F352" s="249" t="s">
        <v>125</v>
      </c>
      <c r="G352" s="179">
        <f>'4. Report'!C111</f>
        <v>6.836571428571428E-2</v>
      </c>
      <c r="H352" s="180">
        <f>'4. Report'!D111</f>
        <v>6.9733028571428574E-2</v>
      </c>
      <c r="I352" s="180">
        <f>'4. Report'!E111</f>
        <v>7.1127689142857151E-2</v>
      </c>
      <c r="J352" s="180">
        <f>'4. Report'!F111</f>
        <v>7.2550242925714284E-2</v>
      </c>
      <c r="K352" s="180">
        <f>'4. Report'!G111</f>
        <v>7.4001247784228563E-2</v>
      </c>
      <c r="L352" s="180">
        <f>'4. Report'!H111</f>
        <v>8.1703357091413298E-2</v>
      </c>
      <c r="M352" s="180">
        <f>'4. Report'!I111</f>
        <v>9.0207108121624011E-2</v>
      </c>
      <c r="N352" s="180">
        <f>'4. Report'!J111</f>
        <v>9.9595936389271847E-2</v>
      </c>
      <c r="O352" s="180">
        <f>'4. Report'!K111</f>
        <v>0.10996196144412339</v>
      </c>
      <c r="P352" s="181">
        <f>'4. Report'!L111</f>
        <v>0.12140689071267519</v>
      </c>
      <c r="Q352" s="158"/>
    </row>
    <row r="353" spans="5:17" ht="37" x14ac:dyDescent="0.2">
      <c r="E353" s="47"/>
      <c r="F353" s="249"/>
      <c r="G353" s="176"/>
      <c r="H353" s="177"/>
      <c r="I353" s="177"/>
      <c r="J353" s="177"/>
      <c r="K353" s="177"/>
      <c r="L353" s="177"/>
      <c r="M353" s="177"/>
      <c r="N353" s="177"/>
      <c r="O353" s="177"/>
      <c r="P353" s="178"/>
      <c r="Q353" s="158"/>
    </row>
    <row r="354" spans="5:17" ht="38" x14ac:dyDescent="0.2">
      <c r="E354" s="47"/>
      <c r="F354" s="249" t="s">
        <v>126</v>
      </c>
      <c r="G354" s="170">
        <f>'4. Report'!C112</f>
        <v>89760</v>
      </c>
      <c r="H354" s="171">
        <f>'4. Report'!D112</f>
        <v>91555.199999999997</v>
      </c>
      <c r="I354" s="171">
        <f>'4. Report'!E112</f>
        <v>93386.303999999989</v>
      </c>
      <c r="J354" s="171">
        <f>'4. Report'!F112</f>
        <v>95254.030079999997</v>
      </c>
      <c r="K354" s="171">
        <f>'4. Report'!G112</f>
        <v>97159.110681599996</v>
      </c>
      <c r="L354" s="171">
        <f>'4. Report'!H112</f>
        <v>107271.50895953862</v>
      </c>
      <c r="M354" s="171">
        <f>'4. Report'!I112</f>
        <v>118436.41377252337</v>
      </c>
      <c r="N354" s="171">
        <f>'4. Report'!J112</f>
        <v>130763.37084609517</v>
      </c>
      <c r="O354" s="171">
        <f>'4. Report'!K112</f>
        <v>144373.32751289621</v>
      </c>
      <c r="P354" s="172">
        <f>'4. Report'!L112</f>
        <v>159399.8194010951</v>
      </c>
      <c r="Q354" s="158"/>
    </row>
    <row r="355" spans="5:17" ht="37" x14ac:dyDescent="0.2">
      <c r="E355" s="47"/>
      <c r="F355" s="249"/>
      <c r="G355" s="170"/>
      <c r="H355" s="171"/>
      <c r="I355" s="171"/>
      <c r="J355" s="171"/>
      <c r="K355" s="171"/>
      <c r="L355" s="171"/>
      <c r="M355" s="171"/>
      <c r="N355" s="171"/>
      <c r="O355" s="171"/>
      <c r="P355" s="172"/>
      <c r="Q355" s="158"/>
    </row>
    <row r="356" spans="5:17" ht="39" thickBot="1" x14ac:dyDescent="0.25">
      <c r="E356" s="47"/>
      <c r="F356" s="252" t="s">
        <v>128</v>
      </c>
      <c r="G356" s="173">
        <f>'4. Report'!C113</f>
        <v>0</v>
      </c>
      <c r="H356" s="174">
        <f>'4. Report'!D113</f>
        <v>0</v>
      </c>
      <c r="I356" s="174">
        <f>'4. Report'!E113</f>
        <v>0</v>
      </c>
      <c r="J356" s="174">
        <f>'4. Report'!F113</f>
        <v>0</v>
      </c>
      <c r="K356" s="174">
        <f>'4. Report'!G113</f>
        <v>0</v>
      </c>
      <c r="L356" s="174">
        <f>'4. Report'!H113</f>
        <v>0</v>
      </c>
      <c r="M356" s="174">
        <f>'4. Report'!I113</f>
        <v>0</v>
      </c>
      <c r="N356" s="174">
        <f>'4. Report'!J113</f>
        <v>0</v>
      </c>
      <c r="O356" s="174">
        <f>'4. Report'!K113</f>
        <v>0</v>
      </c>
      <c r="P356" s="175">
        <f>'4. Report'!L113</f>
        <v>0</v>
      </c>
      <c r="Q356" s="158"/>
    </row>
    <row r="357" spans="5:17" ht="40" thickTop="1" thickBot="1" x14ac:dyDescent="0.5">
      <c r="F357" s="253" t="s">
        <v>127</v>
      </c>
      <c r="G357" s="182">
        <f>'4. Report'!C114</f>
        <v>89760</v>
      </c>
      <c r="H357" s="183">
        <f>'4. Report'!D114</f>
        <v>91555.199999999997</v>
      </c>
      <c r="I357" s="183">
        <f>'4. Report'!E114</f>
        <v>93386.303999999989</v>
      </c>
      <c r="J357" s="183">
        <f>'4. Report'!F114</f>
        <v>95254.030079999997</v>
      </c>
      <c r="K357" s="183">
        <f>'4. Report'!G114</f>
        <v>97159.110681599996</v>
      </c>
      <c r="L357" s="183">
        <f>'4. Report'!H114</f>
        <v>107271.50895953862</v>
      </c>
      <c r="M357" s="183">
        <f>'4. Report'!I114</f>
        <v>118436.41377252337</v>
      </c>
      <c r="N357" s="183">
        <f>'4. Report'!J114</f>
        <v>130763.37084609517</v>
      </c>
      <c r="O357" s="183">
        <f>'4. Report'!K114</f>
        <v>144373.32751289621</v>
      </c>
      <c r="P357" s="184">
        <f>'4. Report'!L114</f>
        <v>159399.8194010951</v>
      </c>
      <c r="Q357" s="165"/>
    </row>
    <row r="358" spans="5:17" ht="38" thickTop="1" x14ac:dyDescent="0.45">
      <c r="F358" s="249"/>
      <c r="G358" s="170"/>
      <c r="H358" s="171"/>
      <c r="I358" s="171"/>
      <c r="J358" s="171"/>
      <c r="K358" s="171"/>
      <c r="L358" s="171"/>
      <c r="M358" s="171"/>
      <c r="N358" s="171"/>
      <c r="O358" s="171"/>
      <c r="P358" s="172"/>
      <c r="Q358" s="165"/>
    </row>
    <row r="359" spans="5:17" ht="38" x14ac:dyDescent="0.45">
      <c r="F359" s="249" t="s">
        <v>129</v>
      </c>
      <c r="G359" s="185">
        <f>'4. Report'!C116</f>
        <v>-1182.8000000000029</v>
      </c>
      <c r="H359" s="186">
        <f>'4. Report'!D116</f>
        <v>6525.5439999999944</v>
      </c>
      <c r="I359" s="186">
        <f>'4. Report'!E116</f>
        <v>14388.054879999996</v>
      </c>
      <c r="J359" s="186">
        <f>'4. Report'!F116</f>
        <v>22407.815977600003</v>
      </c>
      <c r="K359" s="186">
        <f>'4. Report'!G116</f>
        <v>30587.972297151999</v>
      </c>
      <c r="L359" s="186">
        <f>'4. Report'!H116</f>
        <v>74009.231539218919</v>
      </c>
      <c r="M359" s="186">
        <f>'4. Report'!I116</f>
        <v>121949.81031915557</v>
      </c>
      <c r="N359" s="186">
        <f>'4. Report'!J116</f>
        <v>174880.083044381</v>
      </c>
      <c r="O359" s="186">
        <f>'4. Report'!K116</f>
        <v>233319.38106844283</v>
      </c>
      <c r="P359" s="187">
        <f>'4. Report'!L116</f>
        <v>297841.08816929319</v>
      </c>
      <c r="Q359" s="165"/>
    </row>
    <row r="360" spans="5:17" ht="76" x14ac:dyDescent="0.45">
      <c r="F360" s="247" t="s">
        <v>130</v>
      </c>
      <c r="G360" s="244">
        <f>'4. Report'!C117</f>
        <v>-1.3517714285714326E-2</v>
      </c>
      <c r="H360" s="245">
        <f>'4. Report'!D117</f>
        <v>3.6618370334177329E-2</v>
      </c>
      <c r="I360" s="245">
        <f>'4. Report'!E117</f>
        <v>5.2054906400653599E-2</v>
      </c>
      <c r="J360" s="245">
        <f>'4. Report'!F117</f>
        <v>5.8656653221533267E-2</v>
      </c>
      <c r="K360" s="245">
        <f>'4. Report'!G117</f>
        <v>6.1792179965019935E-2</v>
      </c>
      <c r="L360" s="245">
        <f>'4. Report'!H117</f>
        <v>6.3209699057540605E-2</v>
      </c>
      <c r="M360" s="245">
        <f>'4. Report'!I117</f>
        <v>5.9916032002544722E-2</v>
      </c>
      <c r="N360" s="245">
        <f>'4. Report'!J117</f>
        <v>5.6443172198690404E-2</v>
      </c>
      <c r="O360" s="245">
        <f>'4. Report'!K117</f>
        <v>5.3343699125511776E-2</v>
      </c>
      <c r="P360" s="246">
        <f>'4. Report'!L117</f>
        <v>5.0657686733364807E-2</v>
      </c>
      <c r="Q360" s="165"/>
    </row>
    <row r="361" spans="5:17" ht="60" customHeight="1" x14ac:dyDescent="0.2">
      <c r="F361" s="158"/>
      <c r="G361" s="158"/>
      <c r="H361" s="158"/>
      <c r="I361" s="158"/>
      <c r="J361" s="158"/>
      <c r="K361" s="158"/>
      <c r="L361" s="158"/>
      <c r="M361" s="158"/>
      <c r="N361" s="158"/>
      <c r="O361" s="158"/>
      <c r="P361" s="158"/>
      <c r="Q361" s="158"/>
    </row>
    <row r="362" spans="5:17" ht="37" x14ac:dyDescent="0.2">
      <c r="F362" s="158"/>
      <c r="G362" s="158"/>
      <c r="H362" s="158"/>
      <c r="I362" s="158"/>
      <c r="J362" s="158"/>
      <c r="K362" s="158"/>
      <c r="L362" s="158"/>
      <c r="M362" s="158"/>
      <c r="N362" s="158"/>
      <c r="O362" s="158"/>
      <c r="P362" s="158"/>
      <c r="Q362" s="158"/>
    </row>
    <row r="363" spans="5:17" ht="37" x14ac:dyDescent="0.2">
      <c r="F363" s="158"/>
      <c r="G363" s="158"/>
      <c r="H363" s="158"/>
      <c r="I363" s="158"/>
      <c r="J363" s="158"/>
      <c r="K363" s="158"/>
      <c r="L363" s="158"/>
      <c r="M363" s="158"/>
      <c r="N363" s="158"/>
      <c r="O363" s="158"/>
      <c r="P363" s="158"/>
      <c r="Q363" s="158"/>
    </row>
    <row r="377" spans="2:23" ht="5" customHeight="1" x14ac:dyDescent="0.2">
      <c r="B377" s="218"/>
      <c r="C377" s="218"/>
      <c r="D377" s="225"/>
      <c r="E377" s="218"/>
      <c r="F377" s="218"/>
      <c r="G377" s="218"/>
      <c r="H377" s="218"/>
      <c r="I377" s="218"/>
      <c r="J377" s="218"/>
      <c r="K377" s="218"/>
      <c r="L377" s="218"/>
      <c r="M377" s="218"/>
      <c r="N377" s="218"/>
      <c r="O377" s="218"/>
      <c r="P377" s="218"/>
      <c r="Q377" s="218"/>
      <c r="R377" s="218"/>
      <c r="S377" s="218"/>
      <c r="T377" s="218"/>
      <c r="U377" s="218"/>
      <c r="V377" s="218"/>
      <c r="W377" s="218"/>
    </row>
    <row r="378" spans="2:23" x14ac:dyDescent="0.2">
      <c r="D378" s="57"/>
    </row>
    <row r="379" spans="2:23" x14ac:dyDescent="0.2">
      <c r="D379" s="57"/>
    </row>
    <row r="380" spans="2:23" x14ac:dyDescent="0.2">
      <c r="D380" s="57"/>
    </row>
    <row r="381" spans="2:23" x14ac:dyDescent="0.2">
      <c r="D381" s="57"/>
    </row>
    <row r="382" spans="2:23" x14ac:dyDescent="0.2">
      <c r="D382" s="57"/>
    </row>
    <row r="383" spans="2:23" x14ac:dyDescent="0.2">
      <c r="D383" s="57"/>
    </row>
    <row r="384" spans="2:23" x14ac:dyDescent="0.2">
      <c r="D384" s="57"/>
    </row>
    <row r="385" spans="2:23" x14ac:dyDescent="0.2">
      <c r="D385" s="57"/>
    </row>
    <row r="386" spans="2:23" x14ac:dyDescent="0.2">
      <c r="D386" s="57"/>
    </row>
    <row r="387" spans="2:23" x14ac:dyDescent="0.2">
      <c r="D387" s="57"/>
    </row>
    <row r="388" spans="2:23" x14ac:dyDescent="0.2">
      <c r="D388" s="57"/>
    </row>
    <row r="389" spans="2:23" x14ac:dyDescent="0.2">
      <c r="D389" s="57"/>
    </row>
    <row r="390" spans="2:23" x14ac:dyDescent="0.2">
      <c r="D390" s="57"/>
    </row>
    <row r="391" spans="2:23" ht="92" x14ac:dyDescent="0.2">
      <c r="B391" s="56"/>
      <c r="C391" s="227" t="s">
        <v>133</v>
      </c>
      <c r="O391" s="56"/>
      <c r="P391" s="56"/>
      <c r="Q391" s="56"/>
      <c r="R391" s="56"/>
      <c r="S391" s="56"/>
      <c r="T391" s="56"/>
      <c r="U391" s="56"/>
      <c r="V391" s="56"/>
      <c r="W391" s="56"/>
    </row>
    <row r="392" spans="2:23" ht="19" x14ac:dyDescent="0.2">
      <c r="B392" s="56"/>
      <c r="C392" s="56"/>
      <c r="D392" s="90"/>
      <c r="E392" s="90"/>
      <c r="F392" s="90"/>
      <c r="O392" s="56"/>
      <c r="P392" s="56"/>
      <c r="Q392" s="56"/>
      <c r="R392" s="56"/>
      <c r="S392" s="56"/>
      <c r="T392" s="56"/>
      <c r="U392" s="56"/>
      <c r="V392" s="56"/>
      <c r="W392" s="56"/>
    </row>
    <row r="393" spans="2:23" x14ac:dyDescent="0.2">
      <c r="B393" s="56"/>
      <c r="O393" s="56"/>
      <c r="P393" s="56"/>
      <c r="Q393" s="56"/>
      <c r="R393" s="56"/>
      <c r="S393" s="56"/>
      <c r="T393" s="56"/>
      <c r="U393" s="56"/>
      <c r="V393" s="56"/>
      <c r="W393" s="56"/>
    </row>
    <row r="394" spans="2:23" x14ac:dyDescent="0.2">
      <c r="B394" s="56"/>
      <c r="O394" s="56"/>
      <c r="P394" s="56"/>
      <c r="Q394" s="56"/>
      <c r="R394" s="56"/>
      <c r="S394" s="56"/>
      <c r="T394" s="56"/>
      <c r="U394" s="56"/>
      <c r="V394" s="56"/>
      <c r="W394" s="56"/>
    </row>
    <row r="395" spans="2:23" x14ac:dyDescent="0.2">
      <c r="B395" s="56"/>
      <c r="O395" s="56"/>
      <c r="P395" s="56"/>
      <c r="Q395" s="56"/>
      <c r="R395" s="56"/>
      <c r="S395" s="56"/>
      <c r="T395" s="56"/>
      <c r="U395" s="56"/>
      <c r="V395" s="56"/>
      <c r="W395" s="56"/>
    </row>
    <row r="396" spans="2:23" x14ac:dyDescent="0.2">
      <c r="B396" s="56"/>
      <c r="O396" s="56"/>
      <c r="P396" s="56"/>
      <c r="Q396" s="56"/>
      <c r="R396" s="56"/>
      <c r="S396" s="56"/>
      <c r="T396" s="56"/>
      <c r="U396" s="56"/>
      <c r="V396" s="56"/>
      <c r="W396" s="56"/>
    </row>
    <row r="397" spans="2:23" x14ac:dyDescent="0.2">
      <c r="B397" s="56"/>
      <c r="O397" s="56"/>
      <c r="P397" s="56"/>
      <c r="Q397" s="56"/>
      <c r="R397" s="56"/>
      <c r="S397" s="56"/>
      <c r="T397" s="56"/>
      <c r="U397" s="56"/>
      <c r="V397" s="56"/>
      <c r="W397" s="56"/>
    </row>
    <row r="398" spans="2:23" x14ac:dyDescent="0.2">
      <c r="B398" s="56"/>
      <c r="O398" s="56"/>
      <c r="P398" s="56"/>
      <c r="Q398" s="56"/>
      <c r="R398" s="56"/>
      <c r="S398" s="56"/>
      <c r="T398" s="56"/>
      <c r="U398" s="56"/>
      <c r="V398" s="56"/>
      <c r="W398" s="56"/>
    </row>
    <row r="399" spans="2:23" x14ac:dyDescent="0.2">
      <c r="B399" s="56"/>
      <c r="O399" s="56"/>
      <c r="P399" s="56"/>
      <c r="Q399" s="56"/>
      <c r="R399" s="56"/>
      <c r="S399" s="56"/>
      <c r="T399" s="56"/>
      <c r="U399" s="56"/>
      <c r="V399" s="56"/>
      <c r="W399" s="56"/>
    </row>
    <row r="400" spans="2:23" x14ac:dyDescent="0.2">
      <c r="B400" s="56"/>
      <c r="O400" s="56"/>
      <c r="P400" s="56"/>
      <c r="Q400" s="56"/>
      <c r="R400" s="56"/>
      <c r="S400" s="56"/>
      <c r="T400" s="56"/>
      <c r="U400" s="56"/>
      <c r="V400" s="56"/>
      <c r="W400" s="56"/>
    </row>
    <row r="401" spans="2:23" x14ac:dyDescent="0.2">
      <c r="B401" s="56"/>
      <c r="O401" s="56"/>
      <c r="P401" s="56"/>
      <c r="Q401" s="56"/>
      <c r="R401" s="56"/>
      <c r="S401" s="56"/>
      <c r="T401" s="56"/>
      <c r="U401" s="56"/>
      <c r="V401" s="56"/>
      <c r="W401" s="56"/>
    </row>
    <row r="402" spans="2:23" x14ac:dyDescent="0.2">
      <c r="B402" s="56"/>
      <c r="O402" s="56"/>
      <c r="P402" s="56"/>
      <c r="Q402" s="56"/>
      <c r="R402" s="56"/>
      <c r="S402" s="56"/>
      <c r="T402" s="56"/>
      <c r="U402" s="56"/>
      <c r="V402" s="56"/>
      <c r="W402" s="56"/>
    </row>
    <row r="403" spans="2:23" x14ac:dyDescent="0.2">
      <c r="B403" s="56"/>
      <c r="O403" s="56"/>
      <c r="P403" s="56"/>
      <c r="Q403" s="56"/>
      <c r="R403" s="56"/>
      <c r="S403" s="56"/>
      <c r="T403" s="56"/>
      <c r="U403" s="56"/>
      <c r="V403" s="56"/>
      <c r="W403" s="56"/>
    </row>
    <row r="404" spans="2:23" x14ac:dyDescent="0.2">
      <c r="B404" s="56"/>
      <c r="O404" s="56"/>
      <c r="P404" s="56"/>
      <c r="Q404" s="56"/>
      <c r="R404" s="56"/>
      <c r="S404" s="56"/>
      <c r="T404" s="56"/>
      <c r="U404" s="56"/>
      <c r="V404" s="56"/>
      <c r="W404" s="56"/>
    </row>
    <row r="405" spans="2:23" x14ac:dyDescent="0.2">
      <c r="B405" s="56"/>
      <c r="O405" s="56"/>
      <c r="P405" s="56"/>
      <c r="Q405" s="56"/>
      <c r="R405" s="56"/>
      <c r="S405" s="56"/>
      <c r="T405" s="56"/>
      <c r="U405" s="56"/>
      <c r="V405" s="56"/>
      <c r="W405" s="56"/>
    </row>
    <row r="406" spans="2:23" x14ac:dyDescent="0.2">
      <c r="O406" s="47"/>
      <c r="P406" s="47"/>
      <c r="Q406" s="47"/>
    </row>
    <row r="407" spans="2:23" ht="5" customHeight="1" x14ac:dyDescent="0.2"/>
    <row r="418" spans="1:23" x14ac:dyDescent="0.2">
      <c r="D418" s="57"/>
    </row>
    <row r="419" spans="1:23" x14ac:dyDescent="0.2">
      <c r="D419" s="57"/>
    </row>
    <row r="420" spans="1:23" s="121" customFormat="1" ht="15" customHeight="1" x14ac:dyDescent="0.3">
      <c r="A420" s="122"/>
      <c r="B420" s="46"/>
      <c r="C420" s="46"/>
      <c r="D420" s="57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7"/>
      <c r="S420" s="47"/>
      <c r="T420" s="47"/>
      <c r="U420" s="47"/>
      <c r="V420" s="47"/>
      <c r="W420" s="47"/>
    </row>
    <row r="421" spans="1:23" s="121" customFormat="1" ht="15" customHeight="1" x14ac:dyDescent="0.3">
      <c r="A421" s="122"/>
      <c r="B421" s="46"/>
      <c r="C421" s="46"/>
      <c r="D421" s="57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7"/>
      <c r="S421" s="47"/>
      <c r="T421" s="47"/>
      <c r="U421" s="47"/>
      <c r="V421" s="47"/>
      <c r="W421" s="47"/>
    </row>
    <row r="422" spans="1:23" s="121" customFormat="1" ht="15" customHeight="1" x14ac:dyDescent="0.3">
      <c r="A422" s="122"/>
      <c r="B422" s="46"/>
      <c r="C422" s="46"/>
      <c r="D422" s="57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7"/>
      <c r="S422" s="47"/>
      <c r="T422" s="47"/>
      <c r="U422" s="47"/>
      <c r="V422" s="47"/>
      <c r="W422" s="47"/>
    </row>
    <row r="423" spans="1:23" s="121" customFormat="1" ht="15" customHeight="1" x14ac:dyDescent="0.3">
      <c r="A423" s="122"/>
      <c r="B423" s="46"/>
      <c r="C423" s="46"/>
      <c r="D423" s="57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7"/>
      <c r="S423" s="47"/>
      <c r="T423" s="47"/>
      <c r="U423" s="47"/>
      <c r="V423" s="47"/>
      <c r="W423" s="47"/>
    </row>
    <row r="424" spans="1:23" s="121" customFormat="1" ht="15" customHeight="1" x14ac:dyDescent="0.3">
      <c r="A424" s="122"/>
      <c r="B424" s="46"/>
      <c r="C424" s="46"/>
      <c r="D424" s="57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7"/>
      <c r="S424" s="47"/>
      <c r="T424" s="47"/>
      <c r="U424" s="47"/>
      <c r="V424" s="47"/>
      <c r="W424" s="47"/>
    </row>
    <row r="425" spans="1:23" s="121" customFormat="1" ht="15" customHeight="1" x14ac:dyDescent="0.3">
      <c r="A425" s="122"/>
      <c r="B425" s="46"/>
      <c r="C425" s="46"/>
      <c r="D425" s="57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7"/>
      <c r="S425" s="47"/>
      <c r="T425" s="47"/>
      <c r="U425" s="47"/>
      <c r="V425" s="47"/>
      <c r="W425" s="47"/>
    </row>
    <row r="426" spans="1:23" s="121" customFormat="1" ht="15" customHeight="1" x14ac:dyDescent="0.3">
      <c r="A426" s="122"/>
      <c r="B426" s="46"/>
      <c r="C426" s="46"/>
      <c r="D426" s="57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7"/>
      <c r="S426" s="47"/>
      <c r="T426" s="47"/>
      <c r="U426" s="47"/>
      <c r="V426" s="47"/>
      <c r="W426" s="47"/>
    </row>
    <row r="427" spans="1:23" s="121" customFormat="1" ht="15" customHeight="1" x14ac:dyDescent="0.3">
      <c r="A427" s="122"/>
      <c r="B427" s="46"/>
      <c r="C427" s="46"/>
      <c r="D427" s="57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7"/>
      <c r="S427" s="47"/>
      <c r="T427" s="47"/>
      <c r="U427" s="47"/>
      <c r="V427" s="47"/>
      <c r="W427" s="47"/>
    </row>
    <row r="428" spans="1:23" s="121" customFormat="1" ht="15" customHeight="1" x14ac:dyDescent="0.3">
      <c r="A428" s="122"/>
      <c r="B428" s="46"/>
      <c r="C428" s="46"/>
      <c r="D428" s="57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7"/>
      <c r="S428" s="47"/>
      <c r="T428" s="47"/>
      <c r="U428" s="47"/>
      <c r="V428" s="47"/>
      <c r="W428" s="47"/>
    </row>
    <row r="429" spans="1:23" s="121" customFormat="1" ht="15" customHeight="1" x14ac:dyDescent="0.3">
      <c r="A429" s="122"/>
      <c r="B429" s="46"/>
      <c r="C429" s="46"/>
      <c r="D429" s="57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7"/>
      <c r="S429" s="47"/>
      <c r="T429" s="47"/>
      <c r="U429" s="47"/>
      <c r="V429" s="47"/>
      <c r="W429" s="47"/>
    </row>
    <row r="430" spans="1:23" s="121" customFormat="1" ht="15" customHeight="1" x14ac:dyDescent="0.3">
      <c r="A430" s="122"/>
      <c r="B430" s="46"/>
      <c r="C430" s="46"/>
      <c r="D430" s="57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7"/>
      <c r="S430" s="47"/>
      <c r="T430" s="47"/>
      <c r="U430" s="47"/>
      <c r="V430" s="47"/>
      <c r="W430" s="47"/>
    </row>
    <row r="431" spans="1:23" s="121" customFormat="1" ht="15" customHeight="1" x14ac:dyDescent="0.3">
      <c r="A431" s="122"/>
      <c r="B431" s="46"/>
      <c r="C431" s="46"/>
      <c r="D431" s="57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7"/>
      <c r="S431" s="47"/>
      <c r="T431" s="47"/>
      <c r="U431" s="47"/>
      <c r="V431" s="47"/>
      <c r="W431" s="47"/>
    </row>
    <row r="432" spans="1:23" s="121" customFormat="1" ht="15" customHeight="1" x14ac:dyDescent="0.3">
      <c r="A432" s="122"/>
      <c r="B432" s="46"/>
      <c r="C432" s="46"/>
      <c r="D432" s="57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7"/>
      <c r="S432" s="47"/>
      <c r="T432" s="47"/>
      <c r="U432" s="47"/>
      <c r="V432" s="47"/>
      <c r="W432" s="47"/>
    </row>
    <row r="433" spans="1:23" s="121" customFormat="1" ht="15" customHeight="1" x14ac:dyDescent="0.3">
      <c r="A433" s="122"/>
      <c r="B433" s="46"/>
      <c r="C433" s="46"/>
      <c r="D433" s="57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7"/>
      <c r="S433" s="47"/>
      <c r="T433" s="47"/>
      <c r="U433" s="47"/>
      <c r="V433" s="47"/>
      <c r="W433" s="47"/>
    </row>
    <row r="434" spans="1:23" s="121" customFormat="1" ht="15" customHeight="1" x14ac:dyDescent="0.3">
      <c r="A434" s="122"/>
      <c r="B434" s="46"/>
      <c r="C434" s="46"/>
      <c r="D434" s="57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7"/>
      <c r="S434" s="47"/>
      <c r="T434" s="47"/>
      <c r="U434" s="47"/>
      <c r="V434" s="47"/>
      <c r="W434" s="47"/>
    </row>
    <row r="435" spans="1:23" s="121" customFormat="1" ht="15" customHeight="1" x14ac:dyDescent="0.3">
      <c r="A435" s="122"/>
      <c r="B435" s="46"/>
      <c r="C435" s="46"/>
      <c r="D435" s="57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7"/>
      <c r="S435" s="47"/>
      <c r="T435" s="47"/>
      <c r="U435" s="47"/>
      <c r="V435" s="47"/>
      <c r="W435" s="47"/>
    </row>
    <row r="436" spans="1:23" s="121" customFormat="1" ht="15" customHeight="1" x14ac:dyDescent="0.3">
      <c r="A436" s="122"/>
      <c r="B436" s="46"/>
      <c r="C436" s="46"/>
      <c r="D436" s="57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7"/>
      <c r="S436" s="47"/>
      <c r="T436" s="47"/>
      <c r="U436" s="47"/>
      <c r="V436" s="47"/>
      <c r="W436" s="47"/>
    </row>
    <row r="437" spans="1:23" s="121" customFormat="1" ht="15" customHeight="1" x14ac:dyDescent="0.3">
      <c r="A437" s="122"/>
      <c r="B437" s="46"/>
      <c r="C437" s="46"/>
      <c r="D437" s="57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7"/>
      <c r="S437" s="47"/>
      <c r="T437" s="47"/>
      <c r="U437" s="47"/>
      <c r="V437" s="47"/>
      <c r="W437" s="47"/>
    </row>
    <row r="438" spans="1:23" s="121" customFormat="1" ht="15" customHeight="1" x14ac:dyDescent="0.3">
      <c r="A438" s="122"/>
      <c r="B438" s="46"/>
      <c r="C438" s="46"/>
      <c r="D438" s="57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7"/>
      <c r="S438" s="47"/>
      <c r="T438" s="47"/>
      <c r="U438" s="47"/>
      <c r="V438" s="47"/>
      <c r="W438" s="47"/>
    </row>
    <row r="439" spans="1:23" s="121" customFormat="1" ht="15" customHeight="1" x14ac:dyDescent="0.3">
      <c r="A439" s="122"/>
      <c r="B439" s="46"/>
      <c r="C439" s="46"/>
      <c r="D439" s="57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7"/>
      <c r="S439" s="47"/>
      <c r="T439" s="47"/>
      <c r="U439" s="47"/>
      <c r="V439" s="47"/>
      <c r="W439" s="47"/>
    </row>
    <row r="440" spans="1:23" s="121" customFormat="1" ht="37" x14ac:dyDescent="0.3">
      <c r="A440" s="122"/>
      <c r="B440" s="46"/>
      <c r="C440" s="46"/>
      <c r="D440" s="57"/>
      <c r="E440" s="46"/>
      <c r="F440" s="158" t="s">
        <v>158</v>
      </c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7"/>
      <c r="S440" s="47"/>
      <c r="T440" s="47"/>
      <c r="U440" s="47"/>
      <c r="V440" s="47"/>
      <c r="W440" s="47"/>
    </row>
    <row r="441" spans="1:23" s="121" customFormat="1" ht="15" customHeight="1" x14ac:dyDescent="0.3">
      <c r="A441" s="122"/>
      <c r="B441" s="46"/>
      <c r="C441" s="46"/>
      <c r="D441" s="57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7"/>
      <c r="S441" s="47"/>
      <c r="T441" s="47"/>
      <c r="U441" s="47"/>
      <c r="V441" s="47"/>
      <c r="W441" s="47"/>
    </row>
    <row r="442" spans="1:23" s="121" customFormat="1" ht="15" customHeight="1" x14ac:dyDescent="0.3">
      <c r="A442" s="122"/>
      <c r="B442" s="46"/>
      <c r="C442" s="46"/>
      <c r="D442" s="57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7"/>
      <c r="S442" s="47"/>
      <c r="T442" s="47"/>
      <c r="U442" s="47"/>
      <c r="V442" s="47"/>
      <c r="W442" s="47"/>
    </row>
    <row r="443" spans="1:23" s="121" customFormat="1" ht="15" customHeight="1" x14ac:dyDescent="0.3">
      <c r="A443" s="122"/>
      <c r="B443" s="5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56"/>
      <c r="P443" s="46"/>
      <c r="Q443" s="46"/>
      <c r="R443" s="47"/>
      <c r="S443" s="47"/>
      <c r="T443" s="47"/>
      <c r="U443" s="47"/>
      <c r="V443" s="47"/>
      <c r="W443" s="47"/>
    </row>
    <row r="444" spans="1:23" s="121" customFormat="1" ht="15" customHeight="1" x14ac:dyDescent="0.3">
      <c r="A444" s="122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7"/>
      <c r="S444" s="47"/>
      <c r="T444" s="47"/>
      <c r="U444" s="47"/>
      <c r="V444" s="47"/>
      <c r="W444" s="47"/>
    </row>
    <row r="445" spans="1:23" s="121" customFormat="1" ht="15" customHeight="1" x14ac:dyDescent="0.3">
      <c r="A445" s="122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7"/>
      <c r="S445" s="47"/>
      <c r="T445" s="47"/>
      <c r="U445" s="47"/>
      <c r="V445" s="47"/>
      <c r="W445" s="47"/>
    </row>
    <row r="446" spans="1:23" s="121" customFormat="1" ht="15" customHeight="1" x14ac:dyDescent="0.3">
      <c r="A446" s="122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7"/>
      <c r="S446" s="47"/>
      <c r="T446" s="47"/>
      <c r="U446" s="47"/>
      <c r="V446" s="47"/>
      <c r="W446" s="47"/>
    </row>
    <row r="447" spans="1:23" s="121" customFormat="1" ht="15" customHeight="1" x14ac:dyDescent="0.3">
      <c r="A447" s="122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7"/>
      <c r="S447" s="47"/>
      <c r="T447" s="47"/>
      <c r="U447" s="47"/>
      <c r="V447" s="47"/>
      <c r="W447" s="47"/>
    </row>
    <row r="448" spans="1:23" s="121" customFormat="1" ht="15" customHeight="1" x14ac:dyDescent="0.3">
      <c r="A448" s="122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7"/>
      <c r="S448" s="47"/>
      <c r="T448" s="47"/>
      <c r="U448" s="47"/>
      <c r="V448" s="47"/>
      <c r="W448" s="47"/>
    </row>
    <row r="449" spans="1:23" s="121" customFormat="1" ht="15" customHeight="1" x14ac:dyDescent="0.3">
      <c r="A449" s="122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7"/>
      <c r="S449" s="47"/>
      <c r="T449" s="47"/>
      <c r="U449" s="47"/>
      <c r="V449" s="47"/>
      <c r="W449" s="47"/>
    </row>
    <row r="450" spans="1:23" s="121" customFormat="1" ht="15" customHeight="1" x14ac:dyDescent="0.3">
      <c r="A450" s="122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7"/>
      <c r="S450" s="47"/>
      <c r="T450" s="47"/>
      <c r="U450" s="47"/>
      <c r="V450" s="47"/>
      <c r="W450" s="47"/>
    </row>
    <row r="451" spans="1:23" s="121" customFormat="1" ht="15" customHeight="1" x14ac:dyDescent="0.3">
      <c r="A451" s="122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7"/>
      <c r="S451" s="47"/>
      <c r="T451" s="47"/>
      <c r="U451" s="47"/>
      <c r="V451" s="47"/>
      <c r="W451" s="47"/>
    </row>
    <row r="519" spans="2:23" ht="5" customHeight="1" x14ac:dyDescent="0.2">
      <c r="B519" s="218"/>
      <c r="C519" s="218"/>
      <c r="D519" s="225"/>
      <c r="E519" s="218"/>
      <c r="F519" s="218"/>
      <c r="G519" s="218"/>
      <c r="H519" s="218"/>
      <c r="I519" s="218"/>
      <c r="J519" s="218"/>
      <c r="K519" s="218"/>
      <c r="L519" s="218"/>
      <c r="M519" s="218"/>
      <c r="N519" s="218"/>
      <c r="O519" s="218"/>
      <c r="P519" s="218"/>
      <c r="Q519" s="218"/>
      <c r="R519" s="218"/>
      <c r="S519" s="218"/>
      <c r="T519" s="218"/>
      <c r="U519" s="218"/>
      <c r="V519" s="218"/>
      <c r="W519" s="218"/>
    </row>
    <row r="530" spans="3:16" x14ac:dyDescent="0.2"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</row>
    <row r="531" spans="3:16" x14ac:dyDescent="0.2"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</row>
    <row r="532" spans="3:16" x14ac:dyDescent="0.2"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</row>
    <row r="533" spans="3:16" x14ac:dyDescent="0.2"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</row>
    <row r="534" spans="3:16" x14ac:dyDescent="0.2"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</row>
    <row r="535" spans="3:16" x14ac:dyDescent="0.2"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</row>
    <row r="536" spans="3:16" x14ac:dyDescent="0.2"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</row>
    <row r="537" spans="3:16" x14ac:dyDescent="0.2"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</row>
    <row r="538" spans="3:16" x14ac:dyDescent="0.2"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</row>
    <row r="539" spans="3:16" x14ac:dyDescent="0.2"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</row>
    <row r="546" spans="3:16" ht="92" x14ac:dyDescent="0.2">
      <c r="C546" s="227" t="s">
        <v>134</v>
      </c>
      <c r="D546" s="202"/>
    </row>
    <row r="548" spans="3:16" x14ac:dyDescent="0.2">
      <c r="F548" s="47"/>
      <c r="G548" s="47"/>
      <c r="H548" s="47"/>
      <c r="I548" s="47"/>
      <c r="J548" s="47"/>
      <c r="K548" s="47"/>
      <c r="L548" s="47"/>
      <c r="M548" s="47"/>
      <c r="N548" s="47"/>
      <c r="O548" s="47"/>
    </row>
    <row r="549" spans="3:16" x14ac:dyDescent="0.2">
      <c r="F549" s="47"/>
      <c r="G549" s="47"/>
      <c r="H549" s="47"/>
      <c r="I549" s="47"/>
      <c r="J549" s="47"/>
      <c r="K549" s="47"/>
      <c r="L549" s="47"/>
      <c r="M549" s="47"/>
      <c r="N549" s="47"/>
      <c r="O549" s="47"/>
    </row>
    <row r="551" spans="3:16" ht="99.75" customHeight="1" x14ac:dyDescent="0.2">
      <c r="C551" s="120"/>
      <c r="D551" s="120"/>
      <c r="E551" s="120"/>
      <c r="F551" s="188" t="s">
        <v>62</v>
      </c>
      <c r="G551" s="188" t="s">
        <v>63</v>
      </c>
      <c r="H551" s="189" t="s">
        <v>64</v>
      </c>
      <c r="I551" s="189" t="s">
        <v>65</v>
      </c>
      <c r="J551" s="189" t="s">
        <v>69</v>
      </c>
      <c r="K551" s="189" t="s">
        <v>70</v>
      </c>
      <c r="L551" s="189" t="s">
        <v>71</v>
      </c>
      <c r="M551" s="189" t="s">
        <v>72</v>
      </c>
      <c r="N551" s="189" t="s">
        <v>74</v>
      </c>
      <c r="O551" s="189" t="s">
        <v>73</v>
      </c>
      <c r="P551" s="120"/>
    </row>
    <row r="552" spans="3:16" ht="37" x14ac:dyDescent="0.2">
      <c r="C552" s="120"/>
      <c r="D552" s="120"/>
      <c r="E552" s="120"/>
      <c r="F552" s="190">
        <f>'Debt Payment (Yearly)'!B12</f>
        <v>0</v>
      </c>
      <c r="G552" s="191">
        <f>'Debt Payment (Yearly)'!C12</f>
        <v>0</v>
      </c>
      <c r="H552" s="192">
        <f>'Debt Payment (Yearly)'!D12</f>
        <v>0</v>
      </c>
      <c r="I552" s="192">
        <f>'Debt Payment (Yearly)'!E12</f>
        <v>0</v>
      </c>
      <c r="J552" s="192">
        <f>'Debt Payment (Yearly)'!F12</f>
        <v>0</v>
      </c>
      <c r="K552" s="192">
        <f>'Debt Payment (Yearly)'!G12</f>
        <v>0</v>
      </c>
      <c r="L552" s="192">
        <f>'Debt Payment (Yearly)'!H12</f>
        <v>0</v>
      </c>
      <c r="M552" s="192">
        <f>'Debt Payment (Yearly)'!I12</f>
        <v>0</v>
      </c>
      <c r="N552" s="192">
        <f>'Debt Payment (Yearly)'!J12</f>
        <v>0</v>
      </c>
      <c r="O552" s="193">
        <f>'Debt Payment (Yearly)'!K12</f>
        <v>0</v>
      </c>
      <c r="P552" s="120"/>
    </row>
    <row r="553" spans="3:16" ht="37" x14ac:dyDescent="0.2">
      <c r="C553" s="120"/>
      <c r="D553" s="120"/>
      <c r="E553" s="120"/>
      <c r="F553" s="194">
        <f>'Debt Payment (Yearly)'!B13</f>
        <v>12</v>
      </c>
      <c r="G553" s="195">
        <f>'Debt Payment (Yearly)'!C13</f>
        <v>1</v>
      </c>
      <c r="H553" s="196">
        <f>'Debt Payment (Yearly)'!D13</f>
        <v>0</v>
      </c>
      <c r="I553" s="196">
        <f>'Debt Payment (Yearly)'!E13</f>
        <v>0</v>
      </c>
      <c r="J553" s="196">
        <f>'Debt Payment (Yearly)'!F13</f>
        <v>0</v>
      </c>
      <c r="K553" s="196">
        <f>'Debt Payment (Yearly)'!G13</f>
        <v>0</v>
      </c>
      <c r="L553" s="196">
        <f>'Debt Payment (Yearly)'!H13</f>
        <v>0</v>
      </c>
      <c r="M553" s="196">
        <f>'Debt Payment (Yearly)'!I13</f>
        <v>0</v>
      </c>
      <c r="N553" s="196">
        <f>'Debt Payment (Yearly)'!J13</f>
        <v>0</v>
      </c>
      <c r="O553" s="197">
        <f>'Debt Payment (Yearly)'!K13</f>
        <v>0</v>
      </c>
      <c r="P553" s="120"/>
    </row>
    <row r="554" spans="3:16" ht="37" x14ac:dyDescent="0.2">
      <c r="C554" s="120"/>
      <c r="D554" s="120"/>
      <c r="E554" s="120"/>
      <c r="F554" s="194">
        <f>'Debt Payment (Yearly)'!B14</f>
        <v>24</v>
      </c>
      <c r="G554" s="195">
        <f>'Debt Payment (Yearly)'!C14</f>
        <v>2</v>
      </c>
      <c r="H554" s="196">
        <f>'Debt Payment (Yearly)'!D14</f>
        <v>0</v>
      </c>
      <c r="I554" s="196">
        <f>'Debt Payment (Yearly)'!E14</f>
        <v>0</v>
      </c>
      <c r="J554" s="196">
        <f>'Debt Payment (Yearly)'!F14</f>
        <v>0</v>
      </c>
      <c r="K554" s="196">
        <f>'Debt Payment (Yearly)'!G14</f>
        <v>0</v>
      </c>
      <c r="L554" s="196">
        <f>'Debt Payment (Yearly)'!H14</f>
        <v>0</v>
      </c>
      <c r="M554" s="196">
        <f>'Debt Payment (Yearly)'!I14</f>
        <v>0</v>
      </c>
      <c r="N554" s="196">
        <f>'Debt Payment (Yearly)'!J14</f>
        <v>0</v>
      </c>
      <c r="O554" s="197">
        <f>'Debt Payment (Yearly)'!K14</f>
        <v>0</v>
      </c>
      <c r="P554" s="120"/>
    </row>
    <row r="555" spans="3:16" ht="37" x14ac:dyDescent="0.2">
      <c r="C555" s="120"/>
      <c r="D555" s="120"/>
      <c r="E555" s="120"/>
      <c r="F555" s="194">
        <f>'Debt Payment (Yearly)'!B15</f>
        <v>36</v>
      </c>
      <c r="G555" s="195">
        <f>'Debt Payment (Yearly)'!C15</f>
        <v>3</v>
      </c>
      <c r="H555" s="196">
        <f>'Debt Payment (Yearly)'!D15</f>
        <v>0</v>
      </c>
      <c r="I555" s="196">
        <f>'Debt Payment (Yearly)'!E15</f>
        <v>0</v>
      </c>
      <c r="J555" s="196">
        <f>'Debt Payment (Yearly)'!F15</f>
        <v>0</v>
      </c>
      <c r="K555" s="196">
        <f>'Debt Payment (Yearly)'!G15</f>
        <v>0</v>
      </c>
      <c r="L555" s="196">
        <f>'Debt Payment (Yearly)'!H15</f>
        <v>0</v>
      </c>
      <c r="M555" s="196">
        <f>'Debt Payment (Yearly)'!I15</f>
        <v>0</v>
      </c>
      <c r="N555" s="196">
        <f>'Debt Payment (Yearly)'!J15</f>
        <v>0</v>
      </c>
      <c r="O555" s="197">
        <f>'Debt Payment (Yearly)'!K15</f>
        <v>0</v>
      </c>
      <c r="P555" s="120"/>
    </row>
    <row r="556" spans="3:16" ht="37" x14ac:dyDescent="0.2">
      <c r="C556" s="120"/>
      <c r="D556" s="120"/>
      <c r="E556" s="120"/>
      <c r="F556" s="194">
        <f>'Debt Payment (Yearly)'!B16</f>
        <v>48</v>
      </c>
      <c r="G556" s="195">
        <f>'Debt Payment (Yearly)'!C16</f>
        <v>4</v>
      </c>
      <c r="H556" s="196">
        <f>'Debt Payment (Yearly)'!D16</f>
        <v>0</v>
      </c>
      <c r="I556" s="196">
        <f>'Debt Payment (Yearly)'!E16</f>
        <v>0</v>
      </c>
      <c r="J556" s="196">
        <f>'Debt Payment (Yearly)'!F16</f>
        <v>0</v>
      </c>
      <c r="K556" s="196">
        <f>'Debt Payment (Yearly)'!G16</f>
        <v>0</v>
      </c>
      <c r="L556" s="196">
        <f>'Debt Payment (Yearly)'!H16</f>
        <v>0</v>
      </c>
      <c r="M556" s="196">
        <f>'Debt Payment (Yearly)'!I16</f>
        <v>0</v>
      </c>
      <c r="N556" s="196">
        <f>'Debt Payment (Yearly)'!J16</f>
        <v>0</v>
      </c>
      <c r="O556" s="197">
        <f>'Debt Payment (Yearly)'!K16</f>
        <v>0</v>
      </c>
      <c r="P556" s="120"/>
    </row>
    <row r="557" spans="3:16" ht="37" x14ac:dyDescent="0.2">
      <c r="C557" s="120"/>
      <c r="D557" s="120"/>
      <c r="E557" s="120"/>
      <c r="F557" s="194">
        <f>'Debt Payment (Yearly)'!B17</f>
        <v>60</v>
      </c>
      <c r="G557" s="195">
        <f>'Debt Payment (Yearly)'!C17</f>
        <v>5</v>
      </c>
      <c r="H557" s="196">
        <f>'Debt Payment (Yearly)'!D17</f>
        <v>0</v>
      </c>
      <c r="I557" s="196">
        <f>'Debt Payment (Yearly)'!E17</f>
        <v>0</v>
      </c>
      <c r="J557" s="196">
        <f>'Debt Payment (Yearly)'!F17</f>
        <v>0</v>
      </c>
      <c r="K557" s="196">
        <f>'Debt Payment (Yearly)'!G17</f>
        <v>0</v>
      </c>
      <c r="L557" s="196">
        <f>'Debt Payment (Yearly)'!H17</f>
        <v>0</v>
      </c>
      <c r="M557" s="196">
        <f>'Debt Payment (Yearly)'!I17</f>
        <v>0</v>
      </c>
      <c r="N557" s="196">
        <f>'Debt Payment (Yearly)'!J17</f>
        <v>0</v>
      </c>
      <c r="O557" s="197">
        <f>'Debt Payment (Yearly)'!K17</f>
        <v>0</v>
      </c>
      <c r="P557" s="120"/>
    </row>
    <row r="558" spans="3:16" ht="37" x14ac:dyDescent="0.2">
      <c r="C558" s="120"/>
      <c r="D558" s="120"/>
      <c r="E558" s="120"/>
      <c r="F558" s="194">
        <f>'Debt Payment (Yearly)'!B18</f>
        <v>72</v>
      </c>
      <c r="G558" s="195">
        <f>'Debt Payment (Yearly)'!C18</f>
        <v>6</v>
      </c>
      <c r="H558" s="196">
        <f>'Debt Payment (Yearly)'!D18</f>
        <v>0</v>
      </c>
      <c r="I558" s="196">
        <f>'Debt Payment (Yearly)'!E18</f>
        <v>0</v>
      </c>
      <c r="J558" s="196">
        <f>'Debt Payment (Yearly)'!F18</f>
        <v>0</v>
      </c>
      <c r="K558" s="196">
        <f>'Debt Payment (Yearly)'!G18</f>
        <v>0</v>
      </c>
      <c r="L558" s="196">
        <f>'Debt Payment (Yearly)'!H18</f>
        <v>0</v>
      </c>
      <c r="M558" s="196">
        <f>'Debt Payment (Yearly)'!I18</f>
        <v>0</v>
      </c>
      <c r="N558" s="196">
        <f>'Debt Payment (Yearly)'!J18</f>
        <v>0</v>
      </c>
      <c r="O558" s="197">
        <f>'Debt Payment (Yearly)'!K18</f>
        <v>0</v>
      </c>
      <c r="P558" s="120"/>
    </row>
    <row r="559" spans="3:16" ht="37" x14ac:dyDescent="0.2">
      <c r="C559" s="120"/>
      <c r="D559" s="120"/>
      <c r="E559" s="120"/>
      <c r="F559" s="194">
        <f>'Debt Payment (Yearly)'!B19</f>
        <v>84</v>
      </c>
      <c r="G559" s="195">
        <f>'Debt Payment (Yearly)'!C19</f>
        <v>7</v>
      </c>
      <c r="H559" s="196">
        <f>'Debt Payment (Yearly)'!D19</f>
        <v>0</v>
      </c>
      <c r="I559" s="196">
        <f>'Debt Payment (Yearly)'!E19</f>
        <v>0</v>
      </c>
      <c r="J559" s="196">
        <f>'Debt Payment (Yearly)'!F19</f>
        <v>0</v>
      </c>
      <c r="K559" s="196">
        <f>'Debt Payment (Yearly)'!G19</f>
        <v>0</v>
      </c>
      <c r="L559" s="196">
        <f>'Debt Payment (Yearly)'!H19</f>
        <v>0</v>
      </c>
      <c r="M559" s="196">
        <f>'Debt Payment (Yearly)'!I19</f>
        <v>0</v>
      </c>
      <c r="N559" s="196">
        <f>'Debt Payment (Yearly)'!J19</f>
        <v>0</v>
      </c>
      <c r="O559" s="197">
        <f>'Debt Payment (Yearly)'!K19</f>
        <v>0</v>
      </c>
      <c r="P559" s="120"/>
    </row>
    <row r="560" spans="3:16" ht="37" x14ac:dyDescent="0.2">
      <c r="C560" s="120"/>
      <c r="D560" s="120"/>
      <c r="E560" s="120"/>
      <c r="F560" s="194">
        <f>'Debt Payment (Yearly)'!B20</f>
        <v>96</v>
      </c>
      <c r="G560" s="195">
        <f>'Debt Payment (Yearly)'!C20</f>
        <v>8</v>
      </c>
      <c r="H560" s="196">
        <f>'Debt Payment (Yearly)'!D20</f>
        <v>0</v>
      </c>
      <c r="I560" s="196">
        <f>'Debt Payment (Yearly)'!E20</f>
        <v>0</v>
      </c>
      <c r="J560" s="196">
        <f>'Debt Payment (Yearly)'!F20</f>
        <v>0</v>
      </c>
      <c r="K560" s="196">
        <f>'Debt Payment (Yearly)'!G20</f>
        <v>0</v>
      </c>
      <c r="L560" s="196">
        <f>'Debt Payment (Yearly)'!H20</f>
        <v>0</v>
      </c>
      <c r="M560" s="196">
        <f>'Debt Payment (Yearly)'!I20</f>
        <v>0</v>
      </c>
      <c r="N560" s="196">
        <f>'Debt Payment (Yearly)'!J20</f>
        <v>0</v>
      </c>
      <c r="O560" s="197">
        <f>'Debt Payment (Yearly)'!K20</f>
        <v>0</v>
      </c>
      <c r="P560" s="120"/>
    </row>
    <row r="561" spans="3:16" ht="37" x14ac:dyDescent="0.2">
      <c r="C561" s="120"/>
      <c r="D561" s="120"/>
      <c r="E561" s="120"/>
      <c r="F561" s="194">
        <f>'Debt Payment (Yearly)'!B21</f>
        <v>108</v>
      </c>
      <c r="G561" s="195">
        <f>'Debt Payment (Yearly)'!C21</f>
        <v>9</v>
      </c>
      <c r="H561" s="196">
        <f>'Debt Payment (Yearly)'!D21</f>
        <v>0</v>
      </c>
      <c r="I561" s="196">
        <f>'Debt Payment (Yearly)'!E21</f>
        <v>0</v>
      </c>
      <c r="J561" s="196">
        <f>'Debt Payment (Yearly)'!F21</f>
        <v>0</v>
      </c>
      <c r="K561" s="196">
        <f>'Debt Payment (Yearly)'!G21</f>
        <v>0</v>
      </c>
      <c r="L561" s="196">
        <f>'Debt Payment (Yearly)'!H21</f>
        <v>0</v>
      </c>
      <c r="M561" s="196">
        <f>'Debt Payment (Yearly)'!I21</f>
        <v>0</v>
      </c>
      <c r="N561" s="196">
        <f>'Debt Payment (Yearly)'!J21</f>
        <v>0</v>
      </c>
      <c r="O561" s="197">
        <f>'Debt Payment (Yearly)'!K21</f>
        <v>0</v>
      </c>
      <c r="P561" s="120"/>
    </row>
    <row r="562" spans="3:16" ht="37" x14ac:dyDescent="0.2">
      <c r="C562" s="120"/>
      <c r="D562" s="120"/>
      <c r="E562" s="120"/>
      <c r="F562" s="194">
        <f>'Debt Payment (Yearly)'!B22</f>
        <v>120</v>
      </c>
      <c r="G562" s="195">
        <f>'Debt Payment (Yearly)'!C22</f>
        <v>10</v>
      </c>
      <c r="H562" s="196">
        <f>'Debt Payment (Yearly)'!D22</f>
        <v>0</v>
      </c>
      <c r="I562" s="196">
        <f>'Debt Payment (Yearly)'!E22</f>
        <v>0</v>
      </c>
      <c r="J562" s="196">
        <f>'Debt Payment (Yearly)'!F22</f>
        <v>0</v>
      </c>
      <c r="K562" s="196">
        <f>'Debt Payment (Yearly)'!G22</f>
        <v>0</v>
      </c>
      <c r="L562" s="196">
        <f>'Debt Payment (Yearly)'!H22</f>
        <v>0</v>
      </c>
      <c r="M562" s="196">
        <f>'Debt Payment (Yearly)'!I22</f>
        <v>0</v>
      </c>
      <c r="N562" s="196">
        <f>'Debt Payment (Yearly)'!J22</f>
        <v>0</v>
      </c>
      <c r="O562" s="197">
        <f>'Debt Payment (Yearly)'!K22</f>
        <v>0</v>
      </c>
      <c r="P562" s="120"/>
    </row>
    <row r="563" spans="3:16" ht="37" x14ac:dyDescent="0.2">
      <c r="C563" s="120"/>
      <c r="D563" s="120"/>
      <c r="E563" s="120"/>
      <c r="F563" s="194">
        <f>'Debt Payment (Yearly)'!B23</f>
        <v>132</v>
      </c>
      <c r="G563" s="195">
        <f>'Debt Payment (Yearly)'!C23</f>
        <v>11</v>
      </c>
      <c r="H563" s="196">
        <f>'Debt Payment (Yearly)'!D23</f>
        <v>0</v>
      </c>
      <c r="I563" s="196">
        <f>'Debt Payment (Yearly)'!E23</f>
        <v>0</v>
      </c>
      <c r="J563" s="196">
        <f>'Debt Payment (Yearly)'!F23</f>
        <v>0</v>
      </c>
      <c r="K563" s="196">
        <f>'Debt Payment (Yearly)'!G23</f>
        <v>0</v>
      </c>
      <c r="L563" s="196">
        <f>'Debt Payment (Yearly)'!H23</f>
        <v>0</v>
      </c>
      <c r="M563" s="196">
        <f>'Debt Payment (Yearly)'!I23</f>
        <v>0</v>
      </c>
      <c r="N563" s="196">
        <f>'Debt Payment (Yearly)'!J23</f>
        <v>0</v>
      </c>
      <c r="O563" s="197">
        <f>'Debt Payment (Yearly)'!K23</f>
        <v>0</v>
      </c>
      <c r="P563" s="120"/>
    </row>
    <row r="564" spans="3:16" ht="37" x14ac:dyDescent="0.2">
      <c r="C564" s="120"/>
      <c r="D564" s="120"/>
      <c r="E564" s="120"/>
      <c r="F564" s="194">
        <f>'Debt Payment (Yearly)'!B24</f>
        <v>144</v>
      </c>
      <c r="G564" s="195">
        <f>'Debt Payment (Yearly)'!C24</f>
        <v>12</v>
      </c>
      <c r="H564" s="196">
        <f>'Debt Payment (Yearly)'!D24</f>
        <v>0</v>
      </c>
      <c r="I564" s="196">
        <f>'Debt Payment (Yearly)'!E24</f>
        <v>0</v>
      </c>
      <c r="J564" s="196">
        <f>'Debt Payment (Yearly)'!F24</f>
        <v>0</v>
      </c>
      <c r="K564" s="196">
        <f>'Debt Payment (Yearly)'!G24</f>
        <v>0</v>
      </c>
      <c r="L564" s="196">
        <f>'Debt Payment (Yearly)'!H24</f>
        <v>0</v>
      </c>
      <c r="M564" s="196">
        <f>'Debt Payment (Yearly)'!I24</f>
        <v>0</v>
      </c>
      <c r="N564" s="196">
        <f>'Debt Payment (Yearly)'!J24</f>
        <v>0</v>
      </c>
      <c r="O564" s="197">
        <f>'Debt Payment (Yearly)'!K24</f>
        <v>0</v>
      </c>
      <c r="P564" s="120"/>
    </row>
    <row r="565" spans="3:16" ht="37" x14ac:dyDescent="0.2">
      <c r="C565" s="120"/>
      <c r="D565" s="120"/>
      <c r="E565" s="120"/>
      <c r="F565" s="194">
        <f>'Debt Payment (Yearly)'!B25</f>
        <v>156</v>
      </c>
      <c r="G565" s="195">
        <f>'Debt Payment (Yearly)'!C25</f>
        <v>13</v>
      </c>
      <c r="H565" s="196">
        <f>'Debt Payment (Yearly)'!D25</f>
        <v>0</v>
      </c>
      <c r="I565" s="196">
        <f>'Debt Payment (Yearly)'!E25</f>
        <v>0</v>
      </c>
      <c r="J565" s="196">
        <f>'Debt Payment (Yearly)'!F25</f>
        <v>0</v>
      </c>
      <c r="K565" s="196">
        <f>'Debt Payment (Yearly)'!G25</f>
        <v>0</v>
      </c>
      <c r="L565" s="196">
        <f>'Debt Payment (Yearly)'!H25</f>
        <v>0</v>
      </c>
      <c r="M565" s="196">
        <f>'Debt Payment (Yearly)'!I25</f>
        <v>0</v>
      </c>
      <c r="N565" s="196">
        <f>'Debt Payment (Yearly)'!J25</f>
        <v>0</v>
      </c>
      <c r="O565" s="197">
        <f>'Debt Payment (Yearly)'!K25</f>
        <v>0</v>
      </c>
      <c r="P565" s="120"/>
    </row>
    <row r="566" spans="3:16" ht="37" x14ac:dyDescent="0.2">
      <c r="C566" s="120"/>
      <c r="D566" s="120"/>
      <c r="E566" s="120"/>
      <c r="F566" s="194">
        <f>'Debt Payment (Yearly)'!B26</f>
        <v>168</v>
      </c>
      <c r="G566" s="195">
        <f>'Debt Payment (Yearly)'!C26</f>
        <v>14</v>
      </c>
      <c r="H566" s="196">
        <f>'Debt Payment (Yearly)'!D26</f>
        <v>0</v>
      </c>
      <c r="I566" s="196">
        <f>'Debt Payment (Yearly)'!E26</f>
        <v>0</v>
      </c>
      <c r="J566" s="196">
        <f>'Debt Payment (Yearly)'!F26</f>
        <v>0</v>
      </c>
      <c r="K566" s="196">
        <f>'Debt Payment (Yearly)'!G26</f>
        <v>0</v>
      </c>
      <c r="L566" s="196">
        <f>'Debt Payment (Yearly)'!H26</f>
        <v>0</v>
      </c>
      <c r="M566" s="196">
        <f>'Debt Payment (Yearly)'!I26</f>
        <v>0</v>
      </c>
      <c r="N566" s="196">
        <f>'Debt Payment (Yearly)'!J26</f>
        <v>0</v>
      </c>
      <c r="O566" s="197">
        <f>'Debt Payment (Yearly)'!K26</f>
        <v>0</v>
      </c>
      <c r="P566" s="120"/>
    </row>
    <row r="567" spans="3:16" ht="37" x14ac:dyDescent="0.2">
      <c r="C567" s="120"/>
      <c r="D567" s="120"/>
      <c r="E567" s="120"/>
      <c r="F567" s="194">
        <f>'Debt Payment (Yearly)'!B27</f>
        <v>180</v>
      </c>
      <c r="G567" s="195">
        <f>'Debt Payment (Yearly)'!C27</f>
        <v>15</v>
      </c>
      <c r="H567" s="196">
        <f>'Debt Payment (Yearly)'!D27</f>
        <v>0</v>
      </c>
      <c r="I567" s="196">
        <f>'Debt Payment (Yearly)'!E27</f>
        <v>0</v>
      </c>
      <c r="J567" s="196">
        <f>'Debt Payment (Yearly)'!F27</f>
        <v>0</v>
      </c>
      <c r="K567" s="196">
        <f>'Debt Payment (Yearly)'!G27</f>
        <v>0</v>
      </c>
      <c r="L567" s="196">
        <f>'Debt Payment (Yearly)'!H27</f>
        <v>0</v>
      </c>
      <c r="M567" s="196">
        <f>'Debt Payment (Yearly)'!I27</f>
        <v>0</v>
      </c>
      <c r="N567" s="196">
        <f>'Debt Payment (Yearly)'!J27</f>
        <v>0</v>
      </c>
      <c r="O567" s="197">
        <f>'Debt Payment (Yearly)'!K27</f>
        <v>0</v>
      </c>
      <c r="P567" s="120"/>
    </row>
    <row r="568" spans="3:16" ht="37" x14ac:dyDescent="0.2">
      <c r="C568" s="120"/>
      <c r="D568" s="120"/>
      <c r="E568" s="120"/>
      <c r="F568" s="194" t="str">
        <f>'Debt Payment (Yearly)'!B28</f>
        <v/>
      </c>
      <c r="G568" s="195" t="str">
        <f>'Debt Payment (Yearly)'!C28</f>
        <v/>
      </c>
      <c r="H568" s="196" t="str">
        <f>'Debt Payment (Yearly)'!D28</f>
        <v/>
      </c>
      <c r="I568" s="196" t="str">
        <f>'Debt Payment (Yearly)'!E28</f>
        <v/>
      </c>
      <c r="J568" s="196" t="str">
        <f>'Debt Payment (Yearly)'!F28</f>
        <v/>
      </c>
      <c r="K568" s="196" t="str">
        <f>'Debt Payment (Yearly)'!G28</f>
        <v/>
      </c>
      <c r="L568" s="196" t="str">
        <f>'Debt Payment (Yearly)'!H28</f>
        <v/>
      </c>
      <c r="M568" s="196" t="str">
        <f>'Debt Payment (Yearly)'!I28</f>
        <v/>
      </c>
      <c r="N568" s="196" t="str">
        <f>'Debt Payment (Yearly)'!J28</f>
        <v/>
      </c>
      <c r="O568" s="197" t="str">
        <f>'Debt Payment (Yearly)'!K28</f>
        <v/>
      </c>
      <c r="P568" s="120"/>
    </row>
    <row r="569" spans="3:16" ht="37" x14ac:dyDescent="0.2">
      <c r="C569" s="120"/>
      <c r="D569" s="120"/>
      <c r="E569" s="120"/>
      <c r="F569" s="194" t="str">
        <f>'Debt Payment (Yearly)'!B29</f>
        <v/>
      </c>
      <c r="G569" s="195" t="str">
        <f>'Debt Payment (Yearly)'!C29</f>
        <v/>
      </c>
      <c r="H569" s="196" t="str">
        <f>'Debt Payment (Yearly)'!D29</f>
        <v/>
      </c>
      <c r="I569" s="196" t="str">
        <f>'Debt Payment (Yearly)'!E29</f>
        <v/>
      </c>
      <c r="J569" s="196" t="str">
        <f>'Debt Payment (Yearly)'!F29</f>
        <v/>
      </c>
      <c r="K569" s="196" t="str">
        <f>'Debt Payment (Yearly)'!G29</f>
        <v/>
      </c>
      <c r="L569" s="196" t="str">
        <f>'Debt Payment (Yearly)'!H29</f>
        <v/>
      </c>
      <c r="M569" s="196" t="str">
        <f>'Debt Payment (Yearly)'!I29</f>
        <v/>
      </c>
      <c r="N569" s="196" t="str">
        <f>'Debt Payment (Yearly)'!J29</f>
        <v/>
      </c>
      <c r="O569" s="197" t="str">
        <f>'Debt Payment (Yearly)'!K29</f>
        <v/>
      </c>
      <c r="P569" s="120"/>
    </row>
    <row r="570" spans="3:16" ht="37" x14ac:dyDescent="0.2">
      <c r="C570" s="120"/>
      <c r="D570" s="120"/>
      <c r="E570" s="120"/>
      <c r="F570" s="194" t="str">
        <f>'Debt Payment (Yearly)'!B30</f>
        <v/>
      </c>
      <c r="G570" s="195" t="str">
        <f>'Debt Payment (Yearly)'!C30</f>
        <v/>
      </c>
      <c r="H570" s="196" t="str">
        <f>'Debt Payment (Yearly)'!D30</f>
        <v/>
      </c>
      <c r="I570" s="196" t="str">
        <f>'Debt Payment (Yearly)'!E30</f>
        <v/>
      </c>
      <c r="J570" s="196" t="str">
        <f>'Debt Payment (Yearly)'!F30</f>
        <v/>
      </c>
      <c r="K570" s="196" t="str">
        <f>'Debt Payment (Yearly)'!G30</f>
        <v/>
      </c>
      <c r="L570" s="196" t="str">
        <f>'Debt Payment (Yearly)'!H30</f>
        <v/>
      </c>
      <c r="M570" s="196" t="str">
        <f>'Debt Payment (Yearly)'!I30</f>
        <v/>
      </c>
      <c r="N570" s="196" t="str">
        <f>'Debt Payment (Yearly)'!J30</f>
        <v/>
      </c>
      <c r="O570" s="197" t="str">
        <f>'Debt Payment (Yearly)'!K30</f>
        <v/>
      </c>
      <c r="P570" s="120"/>
    </row>
    <row r="571" spans="3:16" ht="37" x14ac:dyDescent="0.2">
      <c r="C571" s="120"/>
      <c r="D571" s="120"/>
      <c r="E571" s="120"/>
      <c r="F571" s="194" t="str">
        <f>'Debt Payment (Yearly)'!B31</f>
        <v/>
      </c>
      <c r="G571" s="195" t="str">
        <f>'Debt Payment (Yearly)'!C31</f>
        <v/>
      </c>
      <c r="H571" s="196" t="str">
        <f>'Debt Payment (Yearly)'!D31</f>
        <v/>
      </c>
      <c r="I571" s="196" t="str">
        <f>'Debt Payment (Yearly)'!E31</f>
        <v/>
      </c>
      <c r="J571" s="196" t="str">
        <f>'Debt Payment (Yearly)'!F31</f>
        <v/>
      </c>
      <c r="K571" s="196" t="str">
        <f>'Debt Payment (Yearly)'!G31</f>
        <v/>
      </c>
      <c r="L571" s="196" t="str">
        <f>'Debt Payment (Yearly)'!H31</f>
        <v/>
      </c>
      <c r="M571" s="196" t="str">
        <f>'Debt Payment (Yearly)'!I31</f>
        <v/>
      </c>
      <c r="N571" s="196" t="str">
        <f>'Debt Payment (Yearly)'!J31</f>
        <v/>
      </c>
      <c r="O571" s="197" t="str">
        <f>'Debt Payment (Yearly)'!K31</f>
        <v/>
      </c>
      <c r="P571" s="120"/>
    </row>
    <row r="572" spans="3:16" ht="37" x14ac:dyDescent="0.2">
      <c r="C572" s="120"/>
      <c r="D572" s="120"/>
      <c r="E572" s="120"/>
      <c r="F572" s="194" t="str">
        <f>'Debt Payment (Yearly)'!B32</f>
        <v/>
      </c>
      <c r="G572" s="195" t="str">
        <f>'Debt Payment (Yearly)'!C32</f>
        <v/>
      </c>
      <c r="H572" s="196" t="str">
        <f>'Debt Payment (Yearly)'!D32</f>
        <v/>
      </c>
      <c r="I572" s="196" t="str">
        <f>'Debt Payment (Yearly)'!E32</f>
        <v/>
      </c>
      <c r="J572" s="196" t="str">
        <f>'Debt Payment (Yearly)'!F32</f>
        <v/>
      </c>
      <c r="K572" s="196" t="str">
        <f>'Debt Payment (Yearly)'!G32</f>
        <v/>
      </c>
      <c r="L572" s="196" t="str">
        <f>'Debt Payment (Yearly)'!H32</f>
        <v/>
      </c>
      <c r="M572" s="196" t="str">
        <f>'Debt Payment (Yearly)'!I32</f>
        <v/>
      </c>
      <c r="N572" s="196" t="str">
        <f>'Debt Payment (Yearly)'!J32</f>
        <v/>
      </c>
      <c r="O572" s="197" t="str">
        <f>'Debt Payment (Yearly)'!K32</f>
        <v/>
      </c>
      <c r="P572" s="120"/>
    </row>
    <row r="573" spans="3:16" ht="37" x14ac:dyDescent="0.2">
      <c r="C573" s="120"/>
      <c r="D573" s="120"/>
      <c r="E573" s="120"/>
      <c r="F573" s="194" t="str">
        <f>'Debt Payment (Yearly)'!B33</f>
        <v/>
      </c>
      <c r="G573" s="195" t="str">
        <f>'Debt Payment (Yearly)'!C33</f>
        <v/>
      </c>
      <c r="H573" s="196" t="str">
        <f>'Debt Payment (Yearly)'!D33</f>
        <v/>
      </c>
      <c r="I573" s="196" t="str">
        <f>'Debt Payment (Yearly)'!E33</f>
        <v/>
      </c>
      <c r="J573" s="196" t="str">
        <f>'Debt Payment (Yearly)'!F33</f>
        <v/>
      </c>
      <c r="K573" s="196" t="str">
        <f>'Debt Payment (Yearly)'!G33</f>
        <v/>
      </c>
      <c r="L573" s="196" t="str">
        <f>'Debt Payment (Yearly)'!H33</f>
        <v/>
      </c>
      <c r="M573" s="196" t="str">
        <f>'Debt Payment (Yearly)'!I33</f>
        <v/>
      </c>
      <c r="N573" s="196" t="str">
        <f>'Debt Payment (Yearly)'!J33</f>
        <v/>
      </c>
      <c r="O573" s="197" t="str">
        <f>'Debt Payment (Yearly)'!K33</f>
        <v/>
      </c>
      <c r="P573" s="120"/>
    </row>
    <row r="574" spans="3:16" ht="37" x14ac:dyDescent="0.2">
      <c r="C574" s="120"/>
      <c r="D574" s="120"/>
      <c r="E574" s="120"/>
      <c r="F574" s="194" t="str">
        <f>'Debt Payment (Yearly)'!B34</f>
        <v/>
      </c>
      <c r="G574" s="195" t="str">
        <f>'Debt Payment (Yearly)'!C34</f>
        <v/>
      </c>
      <c r="H574" s="196" t="str">
        <f>'Debt Payment (Yearly)'!D34</f>
        <v/>
      </c>
      <c r="I574" s="196" t="str">
        <f>'Debt Payment (Yearly)'!E34</f>
        <v/>
      </c>
      <c r="J574" s="196" t="str">
        <f>'Debt Payment (Yearly)'!F34</f>
        <v/>
      </c>
      <c r="K574" s="196" t="str">
        <f>'Debt Payment (Yearly)'!G34</f>
        <v/>
      </c>
      <c r="L574" s="196" t="str">
        <f>'Debt Payment (Yearly)'!H34</f>
        <v/>
      </c>
      <c r="M574" s="196" t="str">
        <f>'Debt Payment (Yearly)'!I34</f>
        <v/>
      </c>
      <c r="N574" s="196" t="str">
        <f>'Debt Payment (Yearly)'!J34</f>
        <v/>
      </c>
      <c r="O574" s="197" t="str">
        <f>'Debt Payment (Yearly)'!K34</f>
        <v/>
      </c>
      <c r="P574" s="120"/>
    </row>
    <row r="575" spans="3:16" ht="37" x14ac:dyDescent="0.2">
      <c r="C575" s="120"/>
      <c r="D575" s="120"/>
      <c r="E575" s="120"/>
      <c r="F575" s="194" t="str">
        <f>'Debt Payment (Yearly)'!B35</f>
        <v/>
      </c>
      <c r="G575" s="195" t="str">
        <f>'Debt Payment (Yearly)'!C35</f>
        <v/>
      </c>
      <c r="H575" s="196" t="str">
        <f>'Debt Payment (Yearly)'!D35</f>
        <v/>
      </c>
      <c r="I575" s="196" t="str">
        <f>'Debt Payment (Yearly)'!E35</f>
        <v/>
      </c>
      <c r="J575" s="196" t="str">
        <f>'Debt Payment (Yearly)'!F35</f>
        <v/>
      </c>
      <c r="K575" s="196" t="str">
        <f>'Debt Payment (Yearly)'!G35</f>
        <v/>
      </c>
      <c r="L575" s="196" t="str">
        <f>'Debt Payment (Yearly)'!H35</f>
        <v/>
      </c>
      <c r="M575" s="196" t="str">
        <f>'Debt Payment (Yearly)'!I35</f>
        <v/>
      </c>
      <c r="N575" s="196" t="str">
        <f>'Debt Payment (Yearly)'!J35</f>
        <v/>
      </c>
      <c r="O575" s="197" t="str">
        <f>'Debt Payment (Yearly)'!K35</f>
        <v/>
      </c>
      <c r="P575" s="120"/>
    </row>
    <row r="576" spans="3:16" ht="37" x14ac:dyDescent="0.2">
      <c r="C576" s="120"/>
      <c r="D576" s="120"/>
      <c r="E576" s="120"/>
      <c r="F576" s="194" t="str">
        <f>'Debt Payment (Yearly)'!B36</f>
        <v/>
      </c>
      <c r="G576" s="195" t="str">
        <f>'Debt Payment (Yearly)'!C36</f>
        <v/>
      </c>
      <c r="H576" s="196" t="str">
        <f>'Debt Payment (Yearly)'!D36</f>
        <v/>
      </c>
      <c r="I576" s="196" t="str">
        <f>'Debt Payment (Yearly)'!E36</f>
        <v/>
      </c>
      <c r="J576" s="196" t="str">
        <f>'Debt Payment (Yearly)'!F36</f>
        <v/>
      </c>
      <c r="K576" s="196" t="str">
        <f>'Debt Payment (Yearly)'!G36</f>
        <v/>
      </c>
      <c r="L576" s="196" t="str">
        <f>'Debt Payment (Yearly)'!H36</f>
        <v/>
      </c>
      <c r="M576" s="196" t="str">
        <f>'Debt Payment (Yearly)'!I36</f>
        <v/>
      </c>
      <c r="N576" s="196" t="str">
        <f>'Debt Payment (Yearly)'!J36</f>
        <v/>
      </c>
      <c r="O576" s="197" t="str">
        <f>'Debt Payment (Yearly)'!K36</f>
        <v/>
      </c>
      <c r="P576" s="120"/>
    </row>
    <row r="577" spans="3:16" ht="37" x14ac:dyDescent="0.2">
      <c r="C577" s="120"/>
      <c r="D577" s="120"/>
      <c r="E577" s="120"/>
      <c r="F577" s="194" t="str">
        <f>'Debt Payment (Yearly)'!B37</f>
        <v/>
      </c>
      <c r="G577" s="195" t="str">
        <f>'Debt Payment (Yearly)'!C37</f>
        <v/>
      </c>
      <c r="H577" s="196" t="str">
        <f>'Debt Payment (Yearly)'!D37</f>
        <v/>
      </c>
      <c r="I577" s="196" t="str">
        <f>'Debt Payment (Yearly)'!E37</f>
        <v/>
      </c>
      <c r="J577" s="196" t="str">
        <f>'Debt Payment (Yearly)'!F37</f>
        <v/>
      </c>
      <c r="K577" s="196" t="str">
        <f>'Debt Payment (Yearly)'!G37</f>
        <v/>
      </c>
      <c r="L577" s="196" t="str">
        <f>'Debt Payment (Yearly)'!H37</f>
        <v/>
      </c>
      <c r="M577" s="196" t="str">
        <f>'Debt Payment (Yearly)'!I37</f>
        <v/>
      </c>
      <c r="N577" s="196" t="str">
        <f>'Debt Payment (Yearly)'!J37</f>
        <v/>
      </c>
      <c r="O577" s="197" t="str">
        <f>'Debt Payment (Yearly)'!K37</f>
        <v/>
      </c>
      <c r="P577" s="120"/>
    </row>
    <row r="578" spans="3:16" ht="37" x14ac:dyDescent="0.2">
      <c r="C578" s="120"/>
      <c r="D578" s="120"/>
      <c r="E578" s="120"/>
      <c r="F578" s="194" t="str">
        <f>'Debt Payment (Yearly)'!B38</f>
        <v/>
      </c>
      <c r="G578" s="195" t="str">
        <f>'Debt Payment (Yearly)'!C38</f>
        <v/>
      </c>
      <c r="H578" s="196" t="str">
        <f>'Debt Payment (Yearly)'!D38</f>
        <v/>
      </c>
      <c r="I578" s="196" t="str">
        <f>'Debt Payment (Yearly)'!E38</f>
        <v/>
      </c>
      <c r="J578" s="196" t="str">
        <f>'Debt Payment (Yearly)'!F38</f>
        <v/>
      </c>
      <c r="K578" s="196" t="str">
        <f>'Debt Payment (Yearly)'!G38</f>
        <v/>
      </c>
      <c r="L578" s="196" t="str">
        <f>'Debt Payment (Yearly)'!H38</f>
        <v/>
      </c>
      <c r="M578" s="196" t="str">
        <f>'Debt Payment (Yearly)'!I38</f>
        <v/>
      </c>
      <c r="N578" s="196" t="str">
        <f>'Debt Payment (Yearly)'!J38</f>
        <v/>
      </c>
      <c r="O578" s="197" t="str">
        <f>'Debt Payment (Yearly)'!K38</f>
        <v/>
      </c>
      <c r="P578" s="120"/>
    </row>
    <row r="579" spans="3:16" ht="37" x14ac:dyDescent="0.2">
      <c r="C579" s="120"/>
      <c r="D579" s="120"/>
      <c r="E579" s="120"/>
      <c r="F579" s="194" t="str">
        <f>'Debt Payment (Yearly)'!B39</f>
        <v/>
      </c>
      <c r="G579" s="195" t="str">
        <f>'Debt Payment (Yearly)'!C39</f>
        <v/>
      </c>
      <c r="H579" s="196" t="str">
        <f>'Debt Payment (Yearly)'!D39</f>
        <v/>
      </c>
      <c r="I579" s="196" t="str">
        <f>'Debt Payment (Yearly)'!E39</f>
        <v/>
      </c>
      <c r="J579" s="196" t="str">
        <f>'Debt Payment (Yearly)'!F39</f>
        <v/>
      </c>
      <c r="K579" s="196" t="str">
        <f>'Debt Payment (Yearly)'!G39</f>
        <v/>
      </c>
      <c r="L579" s="196" t="str">
        <f>'Debt Payment (Yearly)'!H39</f>
        <v/>
      </c>
      <c r="M579" s="196" t="str">
        <f>'Debt Payment (Yearly)'!I39</f>
        <v/>
      </c>
      <c r="N579" s="196" t="str">
        <f>'Debt Payment (Yearly)'!J39</f>
        <v/>
      </c>
      <c r="O579" s="197" t="str">
        <f>'Debt Payment (Yearly)'!K39</f>
        <v/>
      </c>
      <c r="P579" s="120"/>
    </row>
    <row r="580" spans="3:16" ht="37" x14ac:dyDescent="0.2">
      <c r="C580" s="120"/>
      <c r="D580" s="120"/>
      <c r="E580" s="120"/>
      <c r="F580" s="194" t="str">
        <f>'Debt Payment (Yearly)'!B40</f>
        <v/>
      </c>
      <c r="G580" s="195" t="str">
        <f>'Debt Payment (Yearly)'!C40</f>
        <v/>
      </c>
      <c r="H580" s="196" t="str">
        <f>'Debt Payment (Yearly)'!D40</f>
        <v/>
      </c>
      <c r="I580" s="196" t="str">
        <f>'Debt Payment (Yearly)'!E40</f>
        <v/>
      </c>
      <c r="J580" s="196" t="str">
        <f>'Debt Payment (Yearly)'!F40</f>
        <v/>
      </c>
      <c r="K580" s="196" t="str">
        <f>'Debt Payment (Yearly)'!G40</f>
        <v/>
      </c>
      <c r="L580" s="196" t="str">
        <f>'Debt Payment (Yearly)'!H40</f>
        <v/>
      </c>
      <c r="M580" s="196" t="str">
        <f>'Debt Payment (Yearly)'!I40</f>
        <v/>
      </c>
      <c r="N580" s="196" t="str">
        <f>'Debt Payment (Yearly)'!J40</f>
        <v/>
      </c>
      <c r="O580" s="197" t="str">
        <f>'Debt Payment (Yearly)'!K40</f>
        <v/>
      </c>
      <c r="P580" s="120"/>
    </row>
    <row r="581" spans="3:16" ht="37" x14ac:dyDescent="0.2">
      <c r="C581" s="120"/>
      <c r="D581" s="120"/>
      <c r="E581" s="120"/>
      <c r="F581" s="194" t="str">
        <f>'Debt Payment (Yearly)'!B41</f>
        <v/>
      </c>
      <c r="G581" s="195" t="str">
        <f>'Debt Payment (Yearly)'!C41</f>
        <v/>
      </c>
      <c r="H581" s="196" t="str">
        <f>'Debt Payment (Yearly)'!D41</f>
        <v/>
      </c>
      <c r="I581" s="196" t="str">
        <f>'Debt Payment (Yearly)'!E41</f>
        <v/>
      </c>
      <c r="J581" s="196" t="str">
        <f>'Debt Payment (Yearly)'!F41</f>
        <v/>
      </c>
      <c r="K581" s="196" t="str">
        <f>'Debt Payment (Yearly)'!G41</f>
        <v/>
      </c>
      <c r="L581" s="196" t="str">
        <f>'Debt Payment (Yearly)'!H41</f>
        <v/>
      </c>
      <c r="M581" s="196" t="str">
        <f>'Debt Payment (Yearly)'!I41</f>
        <v/>
      </c>
      <c r="N581" s="196" t="str">
        <f>'Debt Payment (Yearly)'!J41</f>
        <v/>
      </c>
      <c r="O581" s="197" t="str">
        <f>'Debt Payment (Yearly)'!K41</f>
        <v/>
      </c>
      <c r="P581" s="120"/>
    </row>
    <row r="582" spans="3:16" ht="37" x14ac:dyDescent="0.2">
      <c r="C582" s="120"/>
      <c r="D582" s="120"/>
      <c r="E582" s="120"/>
      <c r="F582" s="198" t="str">
        <f>'Debt Payment (Yearly)'!B42</f>
        <v/>
      </c>
      <c r="G582" s="199" t="str">
        <f>'Debt Payment (Yearly)'!C42</f>
        <v/>
      </c>
      <c r="H582" s="200" t="str">
        <f>'Debt Payment (Yearly)'!D42</f>
        <v/>
      </c>
      <c r="I582" s="200" t="str">
        <f>'Debt Payment (Yearly)'!E42</f>
        <v/>
      </c>
      <c r="J582" s="200" t="str">
        <f>'Debt Payment (Yearly)'!F42</f>
        <v/>
      </c>
      <c r="K582" s="200" t="str">
        <f>'Debt Payment (Yearly)'!G42</f>
        <v/>
      </c>
      <c r="L582" s="200" t="str">
        <f>'Debt Payment (Yearly)'!H42</f>
        <v/>
      </c>
      <c r="M582" s="200" t="str">
        <f>'Debt Payment (Yearly)'!I42</f>
        <v/>
      </c>
      <c r="N582" s="200" t="str">
        <f>'Debt Payment (Yearly)'!J42</f>
        <v/>
      </c>
      <c r="O582" s="201" t="str">
        <f>'Debt Payment (Yearly)'!K42</f>
        <v/>
      </c>
      <c r="P582" s="120"/>
    </row>
    <row r="600" spans="3:16" ht="92" x14ac:dyDescent="0.2">
      <c r="C600" s="227" t="str">
        <f>'4. Report'!B145:B145</f>
        <v>Investor Split Information:</v>
      </c>
      <c r="D600" s="90"/>
      <c r="E600" s="90"/>
      <c r="F600" s="90"/>
    </row>
    <row r="606" spans="3:16" ht="45" customHeight="1" x14ac:dyDescent="0.45">
      <c r="F606" s="158"/>
      <c r="G606" s="257">
        <v>1</v>
      </c>
      <c r="H606" s="258">
        <v>2</v>
      </c>
      <c r="I606" s="258">
        <v>3</v>
      </c>
      <c r="J606" s="258">
        <v>4</v>
      </c>
      <c r="K606" s="258">
        <v>5</v>
      </c>
      <c r="L606" s="258">
        <v>10</v>
      </c>
      <c r="M606" s="258">
        <v>15</v>
      </c>
      <c r="N606" s="258">
        <v>20</v>
      </c>
      <c r="O606" s="258">
        <v>25</v>
      </c>
      <c r="P606" s="259">
        <v>30</v>
      </c>
    </row>
    <row r="607" spans="3:16" ht="38" x14ac:dyDescent="0.2">
      <c r="F607" s="203" t="s">
        <v>152</v>
      </c>
      <c r="G607" s="267">
        <f>'4. Report'!C149</f>
        <v>5982</v>
      </c>
      <c r="H607" s="267">
        <f>'4. Report'!D149</f>
        <v>6101.64</v>
      </c>
      <c r="I607" s="267">
        <f>'4. Report'!E149</f>
        <v>6223.6728000000012</v>
      </c>
      <c r="J607" s="267">
        <f>'4. Report'!F149</f>
        <v>6348.146256</v>
      </c>
      <c r="K607" s="267">
        <f>'4. Report'!G149</f>
        <v>6475.1091811199994</v>
      </c>
      <c r="L607" s="267">
        <f>'4. Report'!H149</f>
        <v>7149.0437454986632</v>
      </c>
      <c r="M607" s="267">
        <f>'4. Report'!I149</f>
        <v>7893.1219606421009</v>
      </c>
      <c r="N607" s="267">
        <f>'4. Report'!J149</f>
        <v>8714.644434061287</v>
      </c>
      <c r="O607" s="267">
        <f>'4. Report'!K149</f>
        <v>9621.6716263607959</v>
      </c>
      <c r="P607" s="268">
        <f>'4. Report'!L149</f>
        <v>10623.102937359079</v>
      </c>
    </row>
    <row r="608" spans="3:16" ht="45" customHeight="1" x14ac:dyDescent="0.2">
      <c r="F608" s="204" t="s">
        <v>153</v>
      </c>
      <c r="G608" s="502" t="s">
        <v>154</v>
      </c>
      <c r="H608" s="502"/>
      <c r="I608" s="502"/>
      <c r="J608" s="502"/>
      <c r="K608" s="502"/>
      <c r="L608" s="502"/>
      <c r="M608" s="502"/>
      <c r="N608" s="502"/>
      <c r="O608" s="502"/>
      <c r="P608" s="503"/>
    </row>
    <row r="609" spans="6:16" ht="45" customHeight="1" x14ac:dyDescent="0.2">
      <c r="F609" s="205" t="str">
        <f>'4. Report'!B151</f>
        <v>GP</v>
      </c>
      <c r="G609" s="206">
        <f>'4. Report'!C151</f>
        <v>1794.6</v>
      </c>
      <c r="H609" s="206">
        <f>'4. Report'!D151</f>
        <v>1830.492</v>
      </c>
      <c r="I609" s="206">
        <f>'4. Report'!E151</f>
        <v>1867.1018400000003</v>
      </c>
      <c r="J609" s="206">
        <f>'4. Report'!F151</f>
        <v>1904.4438768</v>
      </c>
      <c r="K609" s="206">
        <f>'4. Report'!G151</f>
        <v>1942.5327543359997</v>
      </c>
      <c r="L609" s="206">
        <f>'4. Report'!H151</f>
        <v>2144.7131236495989</v>
      </c>
      <c r="M609" s="206">
        <f>'4. Report'!I151</f>
        <v>2367.9365881926301</v>
      </c>
      <c r="N609" s="206">
        <f>'4. Report'!J151</f>
        <v>2614.3933302183859</v>
      </c>
      <c r="O609" s="206">
        <f>'4. Report'!K151</f>
        <v>2886.5014879082387</v>
      </c>
      <c r="P609" s="207">
        <f>'4. Report'!L151</f>
        <v>3186.9308812077238</v>
      </c>
    </row>
    <row r="610" spans="6:16" ht="45" customHeight="1" x14ac:dyDescent="0.2">
      <c r="F610" s="208" t="str">
        <f>'4. Report'!B152</f>
        <v>Investor 1</v>
      </c>
      <c r="G610" s="263">
        <f>'4. Report'!C152</f>
        <v>4187.3999999999996</v>
      </c>
      <c r="H610" s="263">
        <f>'4. Report'!D152</f>
        <v>4271.1480000000001</v>
      </c>
      <c r="I610" s="263">
        <f>'4. Report'!E152</f>
        <v>4356.5709600000009</v>
      </c>
      <c r="J610" s="263">
        <f>'4. Report'!F152</f>
        <v>4443.7023792</v>
      </c>
      <c r="K610" s="263">
        <f>'4. Report'!G152</f>
        <v>4532.5764267839995</v>
      </c>
      <c r="L610" s="263">
        <f>'4. Report'!H152</f>
        <v>5004.3306218490643</v>
      </c>
      <c r="M610" s="263">
        <f>'4. Report'!I152</f>
        <v>5525.1853724494704</v>
      </c>
      <c r="N610" s="263">
        <f>'4. Report'!J152</f>
        <v>6100.2511038429002</v>
      </c>
      <c r="O610" s="263">
        <f>'4. Report'!K152</f>
        <v>6735.1701384525568</v>
      </c>
      <c r="P610" s="264">
        <f>'4. Report'!L152</f>
        <v>7436.1720561513548</v>
      </c>
    </row>
    <row r="611" spans="6:16" ht="45" customHeight="1" x14ac:dyDescent="0.2">
      <c r="F611" s="208" t="str">
        <f>'4. Report'!B153</f>
        <v/>
      </c>
      <c r="G611" s="263" t="str">
        <f>'4. Report'!C153</f>
        <v/>
      </c>
      <c r="H611" s="263" t="str">
        <f>'4. Report'!D153</f>
        <v/>
      </c>
      <c r="I611" s="263" t="str">
        <f>'4. Report'!E153</f>
        <v/>
      </c>
      <c r="J611" s="263" t="str">
        <f>'4. Report'!F153</f>
        <v/>
      </c>
      <c r="K611" s="263" t="str">
        <f>'4. Report'!G153</f>
        <v/>
      </c>
      <c r="L611" s="263" t="str">
        <f>'4. Report'!H153</f>
        <v/>
      </c>
      <c r="M611" s="263" t="str">
        <f>'4. Report'!I153</f>
        <v/>
      </c>
      <c r="N611" s="263" t="str">
        <f>'4. Report'!J153</f>
        <v/>
      </c>
      <c r="O611" s="263" t="str">
        <f>'4. Report'!K153</f>
        <v/>
      </c>
      <c r="P611" s="264" t="str">
        <f>'4. Report'!L153</f>
        <v/>
      </c>
    </row>
    <row r="612" spans="6:16" ht="45" customHeight="1" x14ac:dyDescent="0.2">
      <c r="F612" s="208" t="str">
        <f>'4. Report'!B154</f>
        <v/>
      </c>
      <c r="G612" s="263" t="str">
        <f>'4. Report'!C154</f>
        <v/>
      </c>
      <c r="H612" s="263" t="str">
        <f>'4. Report'!D154</f>
        <v/>
      </c>
      <c r="I612" s="263" t="str">
        <f>'4. Report'!E154</f>
        <v/>
      </c>
      <c r="J612" s="263" t="str">
        <f>'4. Report'!F154</f>
        <v/>
      </c>
      <c r="K612" s="263" t="str">
        <f>'4. Report'!G154</f>
        <v/>
      </c>
      <c r="L612" s="263" t="str">
        <f>'4. Report'!H154</f>
        <v/>
      </c>
      <c r="M612" s="263" t="str">
        <f>'4. Report'!I154</f>
        <v/>
      </c>
      <c r="N612" s="263" t="str">
        <f>'4. Report'!J154</f>
        <v/>
      </c>
      <c r="O612" s="263" t="str">
        <f>'4. Report'!K154</f>
        <v/>
      </c>
      <c r="P612" s="264" t="str">
        <f>'4. Report'!L154</f>
        <v/>
      </c>
    </row>
    <row r="613" spans="6:16" ht="45" customHeight="1" x14ac:dyDescent="0.2">
      <c r="F613" s="208" t="str">
        <f>'4. Report'!B155</f>
        <v/>
      </c>
      <c r="G613" s="263" t="str">
        <f>'4. Report'!C155</f>
        <v/>
      </c>
      <c r="H613" s="263" t="str">
        <f>'4. Report'!D155</f>
        <v/>
      </c>
      <c r="I613" s="263" t="str">
        <f>'4. Report'!E155</f>
        <v/>
      </c>
      <c r="J613" s="263" t="str">
        <f>'4. Report'!F155</f>
        <v/>
      </c>
      <c r="K613" s="263" t="str">
        <f>'4. Report'!G155</f>
        <v/>
      </c>
      <c r="L613" s="263" t="str">
        <f>'4. Report'!H155</f>
        <v/>
      </c>
      <c r="M613" s="263" t="str">
        <f>'4. Report'!I155</f>
        <v/>
      </c>
      <c r="N613" s="263" t="str">
        <f>'4. Report'!J155</f>
        <v/>
      </c>
      <c r="O613" s="263" t="str">
        <f>'4. Report'!K155</f>
        <v/>
      </c>
      <c r="P613" s="264" t="str">
        <f>'4. Report'!L155</f>
        <v/>
      </c>
    </row>
    <row r="614" spans="6:16" ht="45" customHeight="1" x14ac:dyDescent="0.2">
      <c r="F614" s="208" t="str">
        <f>'4. Report'!B156</f>
        <v/>
      </c>
      <c r="G614" s="209" t="str">
        <f>'4. Report'!C156</f>
        <v/>
      </c>
      <c r="H614" s="209" t="str">
        <f>'4. Report'!D156</f>
        <v/>
      </c>
      <c r="I614" s="209" t="str">
        <f>'4. Report'!E156</f>
        <v/>
      </c>
      <c r="J614" s="209" t="str">
        <f>'4. Report'!F156</f>
        <v/>
      </c>
      <c r="K614" s="209" t="str">
        <f>'4. Report'!G156</f>
        <v/>
      </c>
      <c r="L614" s="209" t="str">
        <f>'4. Report'!H156</f>
        <v/>
      </c>
      <c r="M614" s="209" t="str">
        <f>'4. Report'!I156</f>
        <v/>
      </c>
      <c r="N614" s="209" t="str">
        <f>'4. Report'!J156</f>
        <v/>
      </c>
      <c r="O614" s="209" t="str">
        <f>'4. Report'!K156</f>
        <v/>
      </c>
      <c r="P614" s="210" t="str">
        <f>'4. Report'!L156</f>
        <v/>
      </c>
    </row>
    <row r="615" spans="6:16" ht="45" customHeight="1" x14ac:dyDescent="0.2">
      <c r="F615" s="208" t="str">
        <f>'4. Report'!B157</f>
        <v/>
      </c>
      <c r="G615" s="209" t="str">
        <f>'4. Report'!C157</f>
        <v/>
      </c>
      <c r="H615" s="209" t="str">
        <f>'4. Report'!D157</f>
        <v/>
      </c>
      <c r="I615" s="209" t="str">
        <f>'4. Report'!E157</f>
        <v/>
      </c>
      <c r="J615" s="209" t="str">
        <f>'4. Report'!F157</f>
        <v/>
      </c>
      <c r="K615" s="209" t="str">
        <f>'4. Report'!G157</f>
        <v/>
      </c>
      <c r="L615" s="209" t="str">
        <f>'4. Report'!H157</f>
        <v/>
      </c>
      <c r="M615" s="209" t="str">
        <f>'4. Report'!I157</f>
        <v/>
      </c>
      <c r="N615" s="209" t="str">
        <f>'4. Report'!J157</f>
        <v/>
      </c>
      <c r="O615" s="209" t="str">
        <f>'4. Report'!K157</f>
        <v/>
      </c>
      <c r="P615" s="210" t="str">
        <f>'4. Report'!L157</f>
        <v/>
      </c>
    </row>
    <row r="616" spans="6:16" ht="45" customHeight="1" x14ac:dyDescent="0.2">
      <c r="F616" s="208" t="str">
        <f>'4. Report'!B158</f>
        <v/>
      </c>
      <c r="G616" s="209" t="str">
        <f>'4. Report'!C158</f>
        <v/>
      </c>
      <c r="H616" s="209" t="str">
        <f>'4. Report'!D158</f>
        <v/>
      </c>
      <c r="I616" s="209" t="str">
        <f>'4. Report'!E158</f>
        <v/>
      </c>
      <c r="J616" s="209" t="str">
        <f>'4. Report'!F158</f>
        <v/>
      </c>
      <c r="K616" s="209" t="str">
        <f>'4. Report'!G158</f>
        <v/>
      </c>
      <c r="L616" s="209" t="str">
        <f>'4. Report'!H158</f>
        <v/>
      </c>
      <c r="M616" s="209" t="str">
        <f>'4. Report'!I158</f>
        <v/>
      </c>
      <c r="N616" s="209" t="str">
        <f>'4. Report'!J158</f>
        <v/>
      </c>
      <c r="O616" s="209" t="str">
        <f>'4. Report'!K158</f>
        <v/>
      </c>
      <c r="P616" s="210" t="str">
        <f>'4. Report'!L158</f>
        <v/>
      </c>
    </row>
    <row r="617" spans="6:16" ht="45" customHeight="1" x14ac:dyDescent="0.2">
      <c r="F617" s="208" t="str">
        <f>'4. Report'!B159</f>
        <v/>
      </c>
      <c r="G617" s="209" t="str">
        <f>'4. Report'!C159</f>
        <v/>
      </c>
      <c r="H617" s="209" t="str">
        <f>'4. Report'!D159</f>
        <v/>
      </c>
      <c r="I617" s="209" t="str">
        <f>'4. Report'!E159</f>
        <v/>
      </c>
      <c r="J617" s="209" t="str">
        <f>'4. Report'!F159</f>
        <v/>
      </c>
      <c r="K617" s="209" t="str">
        <f>'4. Report'!G159</f>
        <v/>
      </c>
      <c r="L617" s="209" t="str">
        <f>'4. Report'!H159</f>
        <v/>
      </c>
      <c r="M617" s="209" t="str">
        <f>'4. Report'!I159</f>
        <v/>
      </c>
      <c r="N617" s="209" t="str">
        <f>'4. Report'!J159</f>
        <v/>
      </c>
      <c r="O617" s="209" t="str">
        <f>'4. Report'!K159</f>
        <v/>
      </c>
      <c r="P617" s="210" t="str">
        <f>'4. Report'!L159</f>
        <v/>
      </c>
    </row>
    <row r="618" spans="6:16" ht="45" customHeight="1" x14ac:dyDescent="0.2">
      <c r="F618" s="208" t="str">
        <f>'4. Report'!B160</f>
        <v/>
      </c>
      <c r="G618" s="209" t="str">
        <f>'4. Report'!C160</f>
        <v/>
      </c>
      <c r="H618" s="209" t="str">
        <f>'4. Report'!D160</f>
        <v/>
      </c>
      <c r="I618" s="209" t="str">
        <f>'4. Report'!E160</f>
        <v/>
      </c>
      <c r="J618" s="209" t="str">
        <f>'4. Report'!F160</f>
        <v/>
      </c>
      <c r="K618" s="209" t="str">
        <f>'4. Report'!G160</f>
        <v/>
      </c>
      <c r="L618" s="209" t="str">
        <f>'4. Report'!H160</f>
        <v/>
      </c>
      <c r="M618" s="209" t="str">
        <f>'4. Report'!I160</f>
        <v/>
      </c>
      <c r="N618" s="209" t="str">
        <f>'4. Report'!J160</f>
        <v/>
      </c>
      <c r="O618" s="209" t="str">
        <f>'4. Report'!K160</f>
        <v/>
      </c>
      <c r="P618" s="210" t="str">
        <f>'4. Report'!L160</f>
        <v/>
      </c>
    </row>
    <row r="619" spans="6:16" ht="45" customHeight="1" x14ac:dyDescent="0.2">
      <c r="F619" s="208" t="str">
        <f>'4. Report'!B161</f>
        <v/>
      </c>
      <c r="G619" s="209" t="str">
        <f>'4. Report'!C161</f>
        <v/>
      </c>
      <c r="H619" s="209" t="str">
        <f>'4. Report'!D161</f>
        <v/>
      </c>
      <c r="I619" s="209" t="str">
        <f>'4. Report'!E161</f>
        <v/>
      </c>
      <c r="J619" s="209" t="str">
        <f>'4. Report'!F161</f>
        <v/>
      </c>
      <c r="K619" s="209" t="str">
        <f>'4. Report'!G161</f>
        <v/>
      </c>
      <c r="L619" s="209" t="str">
        <f>'4. Report'!H161</f>
        <v/>
      </c>
      <c r="M619" s="209" t="str">
        <f>'4. Report'!I161</f>
        <v/>
      </c>
      <c r="N619" s="209" t="str">
        <f>'4. Report'!J161</f>
        <v/>
      </c>
      <c r="O619" s="209" t="str">
        <f>'4. Report'!K161</f>
        <v/>
      </c>
      <c r="P619" s="210" t="str">
        <f>'4. Report'!L161</f>
        <v/>
      </c>
    </row>
    <row r="620" spans="6:16" ht="45" customHeight="1" x14ac:dyDescent="0.2">
      <c r="F620" s="208" t="str">
        <f>'4. Report'!B162</f>
        <v/>
      </c>
      <c r="G620" s="209" t="str">
        <f>'4. Report'!C162</f>
        <v/>
      </c>
      <c r="H620" s="209" t="str">
        <f>'4. Report'!D162</f>
        <v/>
      </c>
      <c r="I620" s="209" t="str">
        <f>'4. Report'!E162</f>
        <v/>
      </c>
      <c r="J620" s="209"/>
      <c r="K620" s="209" t="str">
        <f>'4. Report'!G162</f>
        <v/>
      </c>
      <c r="L620" s="209" t="str">
        <f>'4. Report'!H162</f>
        <v/>
      </c>
      <c r="M620" s="209" t="str">
        <f>'4. Report'!I162</f>
        <v/>
      </c>
      <c r="N620" s="209" t="str">
        <f>'4. Report'!J162</f>
        <v/>
      </c>
      <c r="O620" s="209" t="str">
        <f>'4. Report'!K162</f>
        <v/>
      </c>
      <c r="P620" s="210" t="str">
        <f>'4. Report'!L162</f>
        <v/>
      </c>
    </row>
    <row r="621" spans="6:16" ht="45" customHeight="1" x14ac:dyDescent="0.2">
      <c r="F621" s="208" t="str">
        <f>'4. Report'!B163</f>
        <v/>
      </c>
      <c r="G621" s="209" t="str">
        <f>'4. Report'!C163</f>
        <v/>
      </c>
      <c r="H621" s="209" t="str">
        <f>'4. Report'!D163</f>
        <v/>
      </c>
      <c r="I621" s="209" t="str">
        <f>'4. Report'!E163</f>
        <v/>
      </c>
      <c r="J621" s="209"/>
      <c r="K621" s="209" t="str">
        <f>'4. Report'!G163</f>
        <v/>
      </c>
      <c r="L621" s="209" t="str">
        <f>'4. Report'!H163</f>
        <v/>
      </c>
      <c r="M621" s="209" t="str">
        <f>'4. Report'!I163</f>
        <v/>
      </c>
      <c r="N621" s="209" t="str">
        <f>'4. Report'!J163</f>
        <v/>
      </c>
      <c r="O621" s="209" t="str">
        <f>'4. Report'!K163</f>
        <v/>
      </c>
      <c r="P621" s="210" t="str">
        <f>'4. Report'!L163</f>
        <v/>
      </c>
    </row>
    <row r="622" spans="6:16" ht="45" customHeight="1" x14ac:dyDescent="0.2">
      <c r="F622" s="208" t="str">
        <f>'4. Report'!B164</f>
        <v/>
      </c>
      <c r="G622" s="209" t="str">
        <f>'4. Report'!C164</f>
        <v/>
      </c>
      <c r="H622" s="209" t="str">
        <f>'4. Report'!D164</f>
        <v/>
      </c>
      <c r="I622" s="209" t="str">
        <f>'4. Report'!E164</f>
        <v/>
      </c>
      <c r="J622" s="209" t="str">
        <f>'4. Report'!F164</f>
        <v/>
      </c>
      <c r="K622" s="209" t="str">
        <f>'4. Report'!G164</f>
        <v/>
      </c>
      <c r="L622" s="209" t="str">
        <f>'4. Report'!H164</f>
        <v/>
      </c>
      <c r="M622" s="209" t="str">
        <f>'4. Report'!I164</f>
        <v/>
      </c>
      <c r="N622" s="209" t="str">
        <f>'4. Report'!J164</f>
        <v/>
      </c>
      <c r="O622" s="209" t="str">
        <f>'4. Report'!K164</f>
        <v/>
      </c>
      <c r="P622" s="210" t="str">
        <f>'4. Report'!L164</f>
        <v/>
      </c>
    </row>
    <row r="623" spans="6:16" ht="45" customHeight="1" x14ac:dyDescent="0.2">
      <c r="F623" s="208" t="str">
        <f>'4. Report'!B165</f>
        <v/>
      </c>
      <c r="G623" s="209" t="str">
        <f>'4. Report'!C165</f>
        <v/>
      </c>
      <c r="H623" s="209" t="str">
        <f>'4. Report'!D165</f>
        <v/>
      </c>
      <c r="I623" s="209" t="str">
        <f>'4. Report'!E165</f>
        <v/>
      </c>
      <c r="J623" s="209" t="str">
        <f>'4. Report'!F165</f>
        <v/>
      </c>
      <c r="K623" s="209" t="str">
        <f>'4. Report'!G165</f>
        <v/>
      </c>
      <c r="L623" s="209" t="str">
        <f>'4. Report'!H165</f>
        <v/>
      </c>
      <c r="M623" s="209" t="str">
        <f>'4. Report'!I165</f>
        <v/>
      </c>
      <c r="N623" s="209" t="str">
        <f>'4. Report'!J165</f>
        <v/>
      </c>
      <c r="O623" s="209" t="str">
        <f>'4. Report'!K165</f>
        <v/>
      </c>
      <c r="P623" s="210" t="str">
        <f>'4. Report'!L165</f>
        <v/>
      </c>
    </row>
    <row r="624" spans="6:16" ht="45" customHeight="1" x14ac:dyDescent="0.2">
      <c r="F624" s="208" t="str">
        <f>'4. Report'!B166</f>
        <v/>
      </c>
      <c r="G624" s="209" t="str">
        <f>'4. Report'!C166</f>
        <v/>
      </c>
      <c r="H624" s="209" t="str">
        <f>'4. Report'!D166</f>
        <v/>
      </c>
      <c r="I624" s="209" t="str">
        <f>'4. Report'!E166</f>
        <v/>
      </c>
      <c r="J624" s="209" t="str">
        <f>'4. Report'!F166</f>
        <v/>
      </c>
      <c r="K624" s="209" t="str">
        <f>'4. Report'!G166</f>
        <v/>
      </c>
      <c r="L624" s="209" t="str">
        <f>'4. Report'!H166</f>
        <v/>
      </c>
      <c r="M624" s="209" t="str">
        <f>'4. Report'!I166</f>
        <v/>
      </c>
      <c r="N624" s="209" t="str">
        <f>'4. Report'!J166</f>
        <v/>
      </c>
      <c r="O624" s="209" t="str">
        <f>'4. Report'!K166</f>
        <v/>
      </c>
      <c r="P624" s="210" t="str">
        <f>'4. Report'!L166</f>
        <v/>
      </c>
    </row>
    <row r="625" spans="6:16" ht="45" customHeight="1" x14ac:dyDescent="0.2">
      <c r="F625" s="208" t="str">
        <f>'4. Report'!B167</f>
        <v/>
      </c>
      <c r="G625" s="209" t="str">
        <f>'4. Report'!C167</f>
        <v/>
      </c>
      <c r="H625" s="209" t="str">
        <f>'4. Report'!D167</f>
        <v/>
      </c>
      <c r="I625" s="209" t="str">
        <f>'4. Report'!E167</f>
        <v/>
      </c>
      <c r="J625" s="209" t="str">
        <f>'4. Report'!F167</f>
        <v/>
      </c>
      <c r="K625" s="209" t="str">
        <f>'4. Report'!G167</f>
        <v/>
      </c>
      <c r="L625" s="209" t="str">
        <f>'4. Report'!H167</f>
        <v/>
      </c>
      <c r="M625" s="209" t="str">
        <f>'4. Report'!I167</f>
        <v/>
      </c>
      <c r="N625" s="209" t="str">
        <f>'4. Report'!J167</f>
        <v/>
      </c>
      <c r="O625" s="209" t="str">
        <f>'4. Report'!K167</f>
        <v/>
      </c>
      <c r="P625" s="210" t="str">
        <f>'4. Report'!L167</f>
        <v/>
      </c>
    </row>
    <row r="626" spans="6:16" ht="45" customHeight="1" x14ac:dyDescent="0.2">
      <c r="F626" s="208" t="str">
        <f>'4. Report'!B168</f>
        <v/>
      </c>
      <c r="G626" s="209" t="str">
        <f>'4. Report'!C168</f>
        <v/>
      </c>
      <c r="H626" s="209" t="str">
        <f>'4. Report'!D168</f>
        <v/>
      </c>
      <c r="I626" s="209" t="str">
        <f>'4. Report'!E168</f>
        <v/>
      </c>
      <c r="J626" s="209" t="str">
        <f>'4. Report'!F168</f>
        <v/>
      </c>
      <c r="K626" s="209" t="str">
        <f>'4. Report'!G168</f>
        <v/>
      </c>
      <c r="L626" s="209" t="str">
        <f>'4. Report'!H168</f>
        <v/>
      </c>
      <c r="M626" s="209" t="str">
        <f>'4. Report'!I168</f>
        <v/>
      </c>
      <c r="N626" s="209" t="str">
        <f>'4. Report'!J168</f>
        <v/>
      </c>
      <c r="O626" s="209" t="str">
        <f>'4. Report'!K168</f>
        <v/>
      </c>
      <c r="P626" s="210" t="str">
        <f>'4. Report'!L168</f>
        <v/>
      </c>
    </row>
    <row r="627" spans="6:16" ht="45" customHeight="1" x14ac:dyDescent="0.2">
      <c r="F627" s="208" t="str">
        <f>'4. Report'!B169</f>
        <v/>
      </c>
      <c r="G627" s="209" t="str">
        <f>'4. Report'!C169</f>
        <v/>
      </c>
      <c r="H627" s="209" t="str">
        <f>'4. Report'!D169</f>
        <v/>
      </c>
      <c r="I627" s="209" t="str">
        <f>'4. Report'!E169</f>
        <v/>
      </c>
      <c r="J627" s="209" t="str">
        <f>'4. Report'!F169</f>
        <v/>
      </c>
      <c r="K627" s="209" t="str">
        <f>'4. Report'!G169</f>
        <v/>
      </c>
      <c r="L627" s="209" t="str">
        <f>'4. Report'!H169</f>
        <v/>
      </c>
      <c r="M627" s="209" t="str">
        <f>'4. Report'!I169</f>
        <v/>
      </c>
      <c r="N627" s="209" t="str">
        <f>'4. Report'!J169</f>
        <v/>
      </c>
      <c r="O627" s="209" t="str">
        <f>'4. Report'!K169</f>
        <v/>
      </c>
      <c r="P627" s="210" t="str">
        <f>'4. Report'!L169</f>
        <v/>
      </c>
    </row>
    <row r="628" spans="6:16" ht="45" customHeight="1" x14ac:dyDescent="0.2">
      <c r="F628" s="211" t="str">
        <f>'4. Report'!B170</f>
        <v/>
      </c>
      <c r="G628" s="212" t="str">
        <f>'4. Report'!C170</f>
        <v/>
      </c>
      <c r="H628" s="212" t="str">
        <f>'4. Report'!D170</f>
        <v/>
      </c>
      <c r="I628" s="212" t="str">
        <f>'4. Report'!E170</f>
        <v/>
      </c>
      <c r="J628" s="212" t="str">
        <f>'4. Report'!F170</f>
        <v/>
      </c>
      <c r="K628" s="212" t="str">
        <f>'4. Report'!G170</f>
        <v/>
      </c>
      <c r="L628" s="212" t="str">
        <f>'4. Report'!H170</f>
        <v/>
      </c>
      <c r="M628" s="212" t="str">
        <f>'4. Report'!I170</f>
        <v/>
      </c>
      <c r="N628" s="212" t="str">
        <f>'4. Report'!J170</f>
        <v/>
      </c>
      <c r="O628" s="212" t="str">
        <f>'4. Report'!K170</f>
        <v/>
      </c>
      <c r="P628" s="213" t="str">
        <f>'4. Report'!L170</f>
        <v/>
      </c>
    </row>
    <row r="629" spans="6:16" ht="45" customHeight="1" x14ac:dyDescent="0.2">
      <c r="F629" s="158" t="str">
        <f>IF('3.1 Investor Splits'!F14="Yes","*Note: The general partner will be managing this property at "&amp;'3. Rent &amp; Expenses'!I25*100&amp;"% of the total revenue of the property.","")</f>
        <v/>
      </c>
      <c r="G629" s="158"/>
      <c r="H629" s="158"/>
      <c r="I629" s="158"/>
      <c r="J629" s="158"/>
      <c r="K629" s="158"/>
      <c r="L629" s="158"/>
      <c r="M629" s="158"/>
      <c r="N629" s="158"/>
      <c r="O629" s="158"/>
      <c r="P629" s="158"/>
    </row>
    <row r="630" spans="6:16" ht="45" customHeight="1" x14ac:dyDescent="0.45">
      <c r="F630" s="158"/>
      <c r="G630" s="260">
        <v>1</v>
      </c>
      <c r="H630" s="261">
        <v>2</v>
      </c>
      <c r="I630" s="261">
        <v>3</v>
      </c>
      <c r="J630" s="261">
        <v>4</v>
      </c>
      <c r="K630" s="261">
        <v>5</v>
      </c>
      <c r="L630" s="261">
        <v>10</v>
      </c>
      <c r="M630" s="261">
        <v>15</v>
      </c>
      <c r="N630" s="261">
        <v>20</v>
      </c>
      <c r="O630" s="261">
        <v>25</v>
      </c>
      <c r="P630" s="262">
        <v>30</v>
      </c>
    </row>
    <row r="631" spans="6:16" ht="38" x14ac:dyDescent="0.2">
      <c r="F631" s="273" t="s">
        <v>152</v>
      </c>
      <c r="G631" s="265">
        <f>G607</f>
        <v>5982</v>
      </c>
      <c r="H631" s="265">
        <f>H607</f>
        <v>6101.64</v>
      </c>
      <c r="I631" s="265">
        <f t="shared" ref="I631:P631" si="0">I607</f>
        <v>6223.6728000000012</v>
      </c>
      <c r="J631" s="265">
        <f t="shared" si="0"/>
        <v>6348.146256</v>
      </c>
      <c r="K631" s="265">
        <f t="shared" si="0"/>
        <v>6475.1091811199994</v>
      </c>
      <c r="L631" s="265">
        <f t="shared" si="0"/>
        <v>7149.0437454986632</v>
      </c>
      <c r="M631" s="265">
        <f t="shared" si="0"/>
        <v>7893.1219606421009</v>
      </c>
      <c r="N631" s="265">
        <f t="shared" si="0"/>
        <v>8714.644434061287</v>
      </c>
      <c r="O631" s="265">
        <f t="shared" si="0"/>
        <v>9621.6716263607959</v>
      </c>
      <c r="P631" s="266">
        <f t="shared" si="0"/>
        <v>10623.102937359079</v>
      </c>
    </row>
    <row r="632" spans="6:16" ht="45" customHeight="1" x14ac:dyDescent="0.2">
      <c r="F632" s="274" t="s">
        <v>153</v>
      </c>
      <c r="G632" s="441" t="s">
        <v>155</v>
      </c>
      <c r="H632" s="441"/>
      <c r="I632" s="441"/>
      <c r="J632" s="441"/>
      <c r="K632" s="441"/>
      <c r="L632" s="441"/>
      <c r="M632" s="441"/>
      <c r="N632" s="441"/>
      <c r="O632" s="441"/>
      <c r="P632" s="442"/>
    </row>
    <row r="633" spans="6:16" ht="45" customHeight="1" x14ac:dyDescent="0.2">
      <c r="F633" s="271" t="str">
        <f>'4. Report'!B175</f>
        <v>GP</v>
      </c>
      <c r="G633" s="214" t="str">
        <f>'4. Report'!C175</f>
        <v>-</v>
      </c>
      <c r="H633" s="214" t="str">
        <f>'4. Report'!D175</f>
        <v>-</v>
      </c>
      <c r="I633" s="214" t="str">
        <f>'4. Report'!E175</f>
        <v>-</v>
      </c>
      <c r="J633" s="214" t="str">
        <f>'4. Report'!F175</f>
        <v>-</v>
      </c>
      <c r="K633" s="214" t="str">
        <f>'4. Report'!G175</f>
        <v>-</v>
      </c>
      <c r="L633" s="214" t="str">
        <f>'4. Report'!H175</f>
        <v>-</v>
      </c>
      <c r="M633" s="214" t="str">
        <f>'4. Report'!I175</f>
        <v>-</v>
      </c>
      <c r="N633" s="214" t="str">
        <f>'4. Report'!J175</f>
        <v>-</v>
      </c>
      <c r="O633" s="214" t="str">
        <f>'4. Report'!K175</f>
        <v>-</v>
      </c>
      <c r="P633" s="215" t="str">
        <f>'4. Report'!L175</f>
        <v>-</v>
      </c>
    </row>
    <row r="634" spans="6:16" ht="45" customHeight="1" x14ac:dyDescent="0.2">
      <c r="F634" s="271" t="str">
        <f>'4. Report'!B176</f>
        <v>Investor 1</v>
      </c>
      <c r="G634" s="269">
        <f>'4. Report'!C176</f>
        <v>4.7855999999999996E-2</v>
      </c>
      <c r="H634" s="269">
        <f>'4. Report'!D176</f>
        <v>9.6669119999999983E-2</v>
      </c>
      <c r="I634" s="269">
        <f>'4. Report'!E176</f>
        <v>0.1464585024</v>
      </c>
      <c r="J634" s="269">
        <f>'4. Report'!F176</f>
        <v>0.19724367244800001</v>
      </c>
      <c r="K634" s="269">
        <f>'4. Report'!G176</f>
        <v>0.24904454589695998</v>
      </c>
      <c r="L634" s="269">
        <f>'4. Report'!H176</f>
        <v>0.52400984816345475</v>
      </c>
      <c r="M634" s="269">
        <f>'4. Report'!I176</f>
        <v>0.82759375994197726</v>
      </c>
      <c r="N634" s="269">
        <f>'4. Report'!J176</f>
        <v>1.1627749290970062</v>
      </c>
      <c r="O634" s="269">
        <f>'4. Report'!K176</f>
        <v>1.5328420235552054</v>
      </c>
      <c r="P634" s="270">
        <f>'4. Report'!L176</f>
        <v>1.9414259984425046</v>
      </c>
    </row>
    <row r="635" spans="6:16" ht="45" customHeight="1" x14ac:dyDescent="0.2">
      <c r="F635" s="271" t="str">
        <f>'4. Report'!B177</f>
        <v/>
      </c>
      <c r="G635" s="269" t="str">
        <f>'4. Report'!C177</f>
        <v/>
      </c>
      <c r="H635" s="269" t="str">
        <f>'4. Report'!D177</f>
        <v/>
      </c>
      <c r="I635" s="269" t="str">
        <f>'4. Report'!E177</f>
        <v/>
      </c>
      <c r="J635" s="269" t="str">
        <f>'4. Report'!F177</f>
        <v/>
      </c>
      <c r="K635" s="269" t="str">
        <f>'4. Report'!G177</f>
        <v/>
      </c>
      <c r="L635" s="269" t="str">
        <f>'4. Report'!H177</f>
        <v/>
      </c>
      <c r="M635" s="269" t="str">
        <f>'4. Report'!I177</f>
        <v/>
      </c>
      <c r="N635" s="269" t="str">
        <f>'4. Report'!J177</f>
        <v/>
      </c>
      <c r="O635" s="269" t="str">
        <f>'4. Report'!K177</f>
        <v/>
      </c>
      <c r="P635" s="270" t="str">
        <f>'4. Report'!L177</f>
        <v/>
      </c>
    </row>
    <row r="636" spans="6:16" ht="45" customHeight="1" x14ac:dyDescent="0.2">
      <c r="F636" s="271" t="str">
        <f>'4. Report'!B178</f>
        <v/>
      </c>
      <c r="G636" s="269" t="str">
        <f>'4. Report'!C178</f>
        <v/>
      </c>
      <c r="H636" s="269" t="str">
        <f>'4. Report'!D178</f>
        <v/>
      </c>
      <c r="I636" s="269" t="str">
        <f>'4. Report'!E178</f>
        <v/>
      </c>
      <c r="J636" s="269" t="str">
        <f>'4. Report'!F178</f>
        <v/>
      </c>
      <c r="K636" s="269" t="str">
        <f>'4. Report'!G178</f>
        <v/>
      </c>
      <c r="L636" s="269" t="str">
        <f>'4. Report'!H178</f>
        <v/>
      </c>
      <c r="M636" s="269" t="str">
        <f>'4. Report'!I178</f>
        <v/>
      </c>
      <c r="N636" s="269" t="str">
        <f>'4. Report'!J178</f>
        <v/>
      </c>
      <c r="O636" s="269" t="str">
        <f>'4. Report'!K178</f>
        <v/>
      </c>
      <c r="P636" s="270" t="str">
        <f>'4. Report'!L178</f>
        <v/>
      </c>
    </row>
    <row r="637" spans="6:16" ht="45" customHeight="1" x14ac:dyDescent="0.2">
      <c r="F637" s="271" t="str">
        <f>'4. Report'!B179</f>
        <v/>
      </c>
      <c r="G637" s="269" t="str">
        <f>'4. Report'!C179</f>
        <v/>
      </c>
      <c r="H637" s="269" t="str">
        <f>'4. Report'!D179</f>
        <v/>
      </c>
      <c r="I637" s="269" t="str">
        <f>'4. Report'!E179</f>
        <v/>
      </c>
      <c r="J637" s="269" t="str">
        <f>'4. Report'!F179</f>
        <v/>
      </c>
      <c r="K637" s="269" t="str">
        <f>'4. Report'!G179</f>
        <v/>
      </c>
      <c r="L637" s="269" t="str">
        <f>'4. Report'!H179</f>
        <v/>
      </c>
      <c r="M637" s="269" t="str">
        <f>'4. Report'!I179</f>
        <v/>
      </c>
      <c r="N637" s="269" t="str">
        <f>'4. Report'!J179</f>
        <v/>
      </c>
      <c r="O637" s="269" t="str">
        <f>'4. Report'!K179</f>
        <v/>
      </c>
      <c r="P637" s="270" t="str">
        <f>'4. Report'!L179</f>
        <v/>
      </c>
    </row>
    <row r="638" spans="6:16" ht="45" customHeight="1" x14ac:dyDescent="0.2">
      <c r="F638" s="271" t="str">
        <f>'4. Report'!B180</f>
        <v/>
      </c>
      <c r="G638" s="214" t="str">
        <f>'4. Report'!C180</f>
        <v/>
      </c>
      <c r="H638" s="214" t="str">
        <f>'4. Report'!D180</f>
        <v/>
      </c>
      <c r="I638" s="214" t="str">
        <f>'4. Report'!E180</f>
        <v/>
      </c>
      <c r="J638" s="214" t="str">
        <f>'4. Report'!F180</f>
        <v/>
      </c>
      <c r="K638" s="214" t="str">
        <f>'4. Report'!G180</f>
        <v/>
      </c>
      <c r="L638" s="214" t="str">
        <f>'4. Report'!H180</f>
        <v/>
      </c>
      <c r="M638" s="214" t="str">
        <f>'4. Report'!I180</f>
        <v/>
      </c>
      <c r="N638" s="214" t="str">
        <f>'4. Report'!J180</f>
        <v/>
      </c>
      <c r="O638" s="214" t="str">
        <f>'4. Report'!K180</f>
        <v/>
      </c>
      <c r="P638" s="215" t="str">
        <f>'4. Report'!L180</f>
        <v/>
      </c>
    </row>
    <row r="639" spans="6:16" ht="45" customHeight="1" x14ac:dyDescent="0.2">
      <c r="F639" s="271" t="str">
        <f>'4. Report'!B181</f>
        <v/>
      </c>
      <c r="G639" s="214" t="str">
        <f>'4. Report'!C181</f>
        <v/>
      </c>
      <c r="H639" s="214" t="str">
        <f>'4. Report'!D181</f>
        <v/>
      </c>
      <c r="I639" s="214" t="str">
        <f>'4. Report'!E181</f>
        <v/>
      </c>
      <c r="J639" s="214" t="str">
        <f>'4. Report'!F181</f>
        <v/>
      </c>
      <c r="K639" s="214" t="str">
        <f>'4. Report'!G181</f>
        <v/>
      </c>
      <c r="L639" s="214" t="str">
        <f>'4. Report'!H181</f>
        <v/>
      </c>
      <c r="M639" s="214" t="str">
        <f>'4. Report'!I181</f>
        <v/>
      </c>
      <c r="N639" s="214" t="str">
        <f>'4. Report'!J181</f>
        <v/>
      </c>
      <c r="O639" s="214" t="str">
        <f>'4. Report'!K181</f>
        <v/>
      </c>
      <c r="P639" s="215" t="str">
        <f>'4. Report'!L181</f>
        <v/>
      </c>
    </row>
    <row r="640" spans="6:16" ht="45" customHeight="1" x14ac:dyDescent="0.2">
      <c r="F640" s="271" t="str">
        <f>'4. Report'!B182</f>
        <v/>
      </c>
      <c r="G640" s="214" t="str">
        <f>'4. Report'!C182</f>
        <v/>
      </c>
      <c r="H640" s="214" t="str">
        <f>'4. Report'!D182</f>
        <v/>
      </c>
      <c r="I640" s="214" t="str">
        <f>'4. Report'!E182</f>
        <v/>
      </c>
      <c r="J640" s="214" t="str">
        <f>'4. Report'!F182</f>
        <v/>
      </c>
      <c r="K640" s="214" t="str">
        <f>'4. Report'!G182</f>
        <v/>
      </c>
      <c r="L640" s="214" t="str">
        <f>'4. Report'!H182</f>
        <v/>
      </c>
      <c r="M640" s="214" t="str">
        <f>'4. Report'!I182</f>
        <v/>
      </c>
      <c r="N640" s="214" t="str">
        <f>'4. Report'!J182</f>
        <v/>
      </c>
      <c r="O640" s="214" t="str">
        <f>'4. Report'!K182</f>
        <v/>
      </c>
      <c r="P640" s="215" t="str">
        <f>'4. Report'!L182</f>
        <v/>
      </c>
    </row>
    <row r="641" spans="6:16" ht="45" customHeight="1" x14ac:dyDescent="0.2">
      <c r="F641" s="271" t="str">
        <f>'4. Report'!B183</f>
        <v/>
      </c>
      <c r="G641" s="214" t="str">
        <f>'4. Report'!C183</f>
        <v/>
      </c>
      <c r="H641" s="214" t="str">
        <f>'4. Report'!D183</f>
        <v/>
      </c>
      <c r="I641" s="214" t="str">
        <f>'4. Report'!E183</f>
        <v/>
      </c>
      <c r="J641" s="214" t="str">
        <f>'4. Report'!F183</f>
        <v/>
      </c>
      <c r="K641" s="214" t="str">
        <f>'4. Report'!G183</f>
        <v/>
      </c>
      <c r="L641" s="214" t="str">
        <f>'4. Report'!H183</f>
        <v/>
      </c>
      <c r="M641" s="214" t="str">
        <f>'4. Report'!I183</f>
        <v/>
      </c>
      <c r="N641" s="214" t="str">
        <f>'4. Report'!J183</f>
        <v/>
      </c>
      <c r="O641" s="214" t="str">
        <f>'4. Report'!K183</f>
        <v/>
      </c>
      <c r="P641" s="215" t="str">
        <f>'4. Report'!L183</f>
        <v/>
      </c>
    </row>
    <row r="642" spans="6:16" ht="45" customHeight="1" x14ac:dyDescent="0.2">
      <c r="F642" s="271" t="str">
        <f>'4. Report'!B184</f>
        <v/>
      </c>
      <c r="G642" s="214" t="str">
        <f>'4. Report'!C184</f>
        <v/>
      </c>
      <c r="H642" s="214" t="str">
        <f>'4. Report'!D184</f>
        <v/>
      </c>
      <c r="I642" s="214" t="str">
        <f>'4. Report'!E184</f>
        <v/>
      </c>
      <c r="J642" s="214" t="str">
        <f>'4. Report'!F184</f>
        <v/>
      </c>
      <c r="K642" s="214" t="str">
        <f>'4. Report'!G184</f>
        <v/>
      </c>
      <c r="L642" s="214" t="str">
        <f>'4. Report'!H184</f>
        <v/>
      </c>
      <c r="M642" s="214" t="str">
        <f>'4. Report'!I184</f>
        <v/>
      </c>
      <c r="N642" s="214" t="str">
        <f>'4. Report'!J184</f>
        <v/>
      </c>
      <c r="O642" s="214" t="str">
        <f>'4. Report'!K184</f>
        <v/>
      </c>
      <c r="P642" s="215" t="str">
        <f>'4. Report'!L184</f>
        <v/>
      </c>
    </row>
    <row r="643" spans="6:16" ht="45" customHeight="1" x14ac:dyDescent="0.2">
      <c r="F643" s="271" t="str">
        <f>'4. Report'!B185</f>
        <v/>
      </c>
      <c r="G643" s="214" t="str">
        <f>'4. Report'!C185</f>
        <v/>
      </c>
      <c r="H643" s="214" t="str">
        <f>'4. Report'!D185</f>
        <v/>
      </c>
      <c r="I643" s="214" t="str">
        <f>'4. Report'!E185</f>
        <v/>
      </c>
      <c r="J643" s="214" t="str">
        <f>'4. Report'!F185</f>
        <v/>
      </c>
      <c r="K643" s="214" t="str">
        <f>'4. Report'!G185</f>
        <v/>
      </c>
      <c r="L643" s="214" t="str">
        <f>'4. Report'!H185</f>
        <v/>
      </c>
      <c r="M643" s="214" t="str">
        <f>'4. Report'!I185</f>
        <v/>
      </c>
      <c r="N643" s="214" t="str">
        <f>'4. Report'!J185</f>
        <v/>
      </c>
      <c r="O643" s="214" t="str">
        <f>'4. Report'!K185</f>
        <v/>
      </c>
      <c r="P643" s="215" t="str">
        <f>'4. Report'!L185</f>
        <v/>
      </c>
    </row>
    <row r="644" spans="6:16" ht="45" customHeight="1" x14ac:dyDescent="0.2">
      <c r="F644" s="271" t="str">
        <f>'4. Report'!B186</f>
        <v/>
      </c>
      <c r="G644" s="214" t="str">
        <f>'4. Report'!C186</f>
        <v/>
      </c>
      <c r="H644" s="214" t="str">
        <f>'4. Report'!D186</f>
        <v/>
      </c>
      <c r="I644" s="214" t="str">
        <f>'4. Report'!E186</f>
        <v/>
      </c>
      <c r="J644" s="214" t="str">
        <f>'4. Report'!F186</f>
        <v/>
      </c>
      <c r="K644" s="214" t="str">
        <f>'4. Report'!G186</f>
        <v/>
      </c>
      <c r="L644" s="214" t="str">
        <f>'4. Report'!H186</f>
        <v/>
      </c>
      <c r="M644" s="214" t="str">
        <f>'4. Report'!I186</f>
        <v/>
      </c>
      <c r="N644" s="214" t="str">
        <f>'4. Report'!J186</f>
        <v/>
      </c>
      <c r="O644" s="214" t="str">
        <f>'4. Report'!K186</f>
        <v/>
      </c>
      <c r="P644" s="215" t="str">
        <f>'4. Report'!L186</f>
        <v/>
      </c>
    </row>
    <row r="645" spans="6:16" ht="45" customHeight="1" x14ac:dyDescent="0.2">
      <c r="F645" s="271" t="str">
        <f>'4. Report'!B187</f>
        <v/>
      </c>
      <c r="G645" s="214" t="str">
        <f>'4. Report'!C187</f>
        <v/>
      </c>
      <c r="H645" s="214" t="str">
        <f>'4. Report'!D187</f>
        <v/>
      </c>
      <c r="I645" s="214" t="str">
        <f>'4. Report'!E187</f>
        <v/>
      </c>
      <c r="J645" s="214" t="str">
        <f>'4. Report'!F187</f>
        <v/>
      </c>
      <c r="K645" s="214" t="str">
        <f>'4. Report'!G187</f>
        <v/>
      </c>
      <c r="L645" s="214" t="str">
        <f>'4. Report'!H187</f>
        <v/>
      </c>
      <c r="M645" s="214" t="str">
        <f>'4. Report'!I187</f>
        <v/>
      </c>
      <c r="N645" s="214" t="str">
        <f>'4. Report'!J187</f>
        <v/>
      </c>
      <c r="O645" s="214" t="str">
        <f>'4. Report'!K187</f>
        <v/>
      </c>
      <c r="P645" s="215" t="str">
        <f>'4. Report'!L187</f>
        <v/>
      </c>
    </row>
    <row r="646" spans="6:16" ht="45" customHeight="1" x14ac:dyDescent="0.2">
      <c r="F646" s="271" t="str">
        <f>'4. Report'!B188</f>
        <v/>
      </c>
      <c r="G646" s="214" t="str">
        <f>'4. Report'!C188</f>
        <v/>
      </c>
      <c r="H646" s="214" t="str">
        <f>'4. Report'!D188</f>
        <v/>
      </c>
      <c r="I646" s="214" t="str">
        <f>'4. Report'!E188</f>
        <v/>
      </c>
      <c r="J646" s="214" t="str">
        <f>'4. Report'!F188</f>
        <v/>
      </c>
      <c r="K646" s="214" t="str">
        <f>'4. Report'!G188</f>
        <v/>
      </c>
      <c r="L646" s="214" t="str">
        <f>'4. Report'!H188</f>
        <v/>
      </c>
      <c r="M646" s="214" t="str">
        <f>'4. Report'!I188</f>
        <v/>
      </c>
      <c r="N646" s="214" t="str">
        <f>'4. Report'!J188</f>
        <v/>
      </c>
      <c r="O646" s="214" t="str">
        <f>'4. Report'!K188</f>
        <v/>
      </c>
      <c r="P646" s="215" t="str">
        <f>'4. Report'!L188</f>
        <v/>
      </c>
    </row>
    <row r="647" spans="6:16" ht="45" customHeight="1" x14ac:dyDescent="0.2">
      <c r="F647" s="271" t="str">
        <f>'4. Report'!B189</f>
        <v/>
      </c>
      <c r="G647" s="214" t="str">
        <f>'4. Report'!C189</f>
        <v/>
      </c>
      <c r="H647" s="214" t="str">
        <f>'4. Report'!D189</f>
        <v/>
      </c>
      <c r="I647" s="214" t="str">
        <f>'4. Report'!E189</f>
        <v/>
      </c>
      <c r="J647" s="214" t="str">
        <f>'4. Report'!F189</f>
        <v/>
      </c>
      <c r="K647" s="214" t="str">
        <f>'4. Report'!G189</f>
        <v/>
      </c>
      <c r="L647" s="214" t="str">
        <f>'4. Report'!H189</f>
        <v/>
      </c>
      <c r="M647" s="214" t="str">
        <f>'4. Report'!I189</f>
        <v/>
      </c>
      <c r="N647" s="214" t="str">
        <f>'4. Report'!J189</f>
        <v/>
      </c>
      <c r="O647" s="214" t="str">
        <f>'4. Report'!K189</f>
        <v/>
      </c>
      <c r="P647" s="215" t="str">
        <f>'4. Report'!L189</f>
        <v/>
      </c>
    </row>
    <row r="648" spans="6:16" ht="45" customHeight="1" x14ac:dyDescent="0.2">
      <c r="F648" s="271" t="str">
        <f>'4. Report'!B190</f>
        <v/>
      </c>
      <c r="G648" s="214" t="str">
        <f>'4. Report'!C190</f>
        <v/>
      </c>
      <c r="H648" s="214" t="str">
        <f>'4. Report'!D190</f>
        <v/>
      </c>
      <c r="I648" s="214" t="str">
        <f>'4. Report'!E190</f>
        <v/>
      </c>
      <c r="J648" s="214" t="str">
        <f>'4. Report'!F190</f>
        <v/>
      </c>
      <c r="K648" s="214" t="str">
        <f>'4. Report'!G190</f>
        <v/>
      </c>
      <c r="L648" s="214" t="str">
        <f>'4. Report'!H190</f>
        <v/>
      </c>
      <c r="M648" s="214" t="str">
        <f>'4. Report'!I190</f>
        <v/>
      </c>
      <c r="N648" s="214" t="str">
        <f>'4. Report'!J190</f>
        <v/>
      </c>
      <c r="O648" s="214" t="str">
        <f>'4. Report'!K190</f>
        <v/>
      </c>
      <c r="P648" s="215" t="str">
        <f>'4. Report'!L190</f>
        <v/>
      </c>
    </row>
    <row r="649" spans="6:16" ht="45" customHeight="1" x14ac:dyDescent="0.2">
      <c r="F649" s="271" t="str">
        <f>'4. Report'!B191</f>
        <v/>
      </c>
      <c r="G649" s="214" t="str">
        <f>'4. Report'!C191</f>
        <v/>
      </c>
      <c r="H649" s="214" t="str">
        <f>'4. Report'!D191</f>
        <v/>
      </c>
      <c r="I649" s="214" t="str">
        <f>'4. Report'!E191</f>
        <v/>
      </c>
      <c r="J649" s="214" t="str">
        <f>'4. Report'!F191</f>
        <v/>
      </c>
      <c r="K649" s="214" t="str">
        <f>'4. Report'!G191</f>
        <v/>
      </c>
      <c r="L649" s="214" t="str">
        <f>'4. Report'!H191</f>
        <v/>
      </c>
      <c r="M649" s="214" t="str">
        <f>'4. Report'!I191</f>
        <v/>
      </c>
      <c r="N649" s="214" t="str">
        <f>'4. Report'!J191</f>
        <v/>
      </c>
      <c r="O649" s="214" t="str">
        <f>'4. Report'!K191</f>
        <v/>
      </c>
      <c r="P649" s="215" t="str">
        <f>'4. Report'!L191</f>
        <v/>
      </c>
    </row>
    <row r="650" spans="6:16" ht="45" customHeight="1" x14ac:dyDescent="0.2">
      <c r="F650" s="271" t="str">
        <f>'4. Report'!B192</f>
        <v/>
      </c>
      <c r="G650" s="214" t="str">
        <f>'4. Report'!C192</f>
        <v/>
      </c>
      <c r="H650" s="214" t="str">
        <f>'4. Report'!D192</f>
        <v/>
      </c>
      <c r="I650" s="214" t="str">
        <f>'4. Report'!E192</f>
        <v/>
      </c>
      <c r="J650" s="214" t="str">
        <f>'4. Report'!F192</f>
        <v/>
      </c>
      <c r="K650" s="214" t="str">
        <f>'4. Report'!G192</f>
        <v/>
      </c>
      <c r="L650" s="214" t="str">
        <f>'4. Report'!H192</f>
        <v/>
      </c>
      <c r="M650" s="214" t="str">
        <f>'4. Report'!I192</f>
        <v/>
      </c>
      <c r="N650" s="214" t="str">
        <f>'4. Report'!J192</f>
        <v/>
      </c>
      <c r="O650" s="214" t="str">
        <f>'4. Report'!K192</f>
        <v/>
      </c>
      <c r="P650" s="215" t="str">
        <f>'4. Report'!L192</f>
        <v/>
      </c>
    </row>
    <row r="651" spans="6:16" ht="45" customHeight="1" x14ac:dyDescent="0.2">
      <c r="F651" s="271" t="str">
        <f>'4. Report'!B193</f>
        <v/>
      </c>
      <c r="G651" s="214" t="str">
        <f>'4. Report'!C193</f>
        <v/>
      </c>
      <c r="H651" s="214" t="str">
        <f>'4. Report'!D193</f>
        <v/>
      </c>
      <c r="I651" s="214" t="str">
        <f>'4. Report'!E193</f>
        <v/>
      </c>
      <c r="J651" s="214" t="str">
        <f>'4. Report'!F193</f>
        <v/>
      </c>
      <c r="K651" s="214" t="str">
        <f>'4. Report'!G193</f>
        <v/>
      </c>
      <c r="L651" s="214" t="str">
        <f>'4. Report'!H193</f>
        <v/>
      </c>
      <c r="M651" s="214" t="str">
        <f>'4. Report'!I193</f>
        <v/>
      </c>
      <c r="N651" s="214" t="str">
        <f>'4. Report'!J193</f>
        <v/>
      </c>
      <c r="O651" s="214" t="str">
        <f>'4. Report'!K193</f>
        <v/>
      </c>
      <c r="P651" s="215" t="str">
        <f>'4. Report'!L193</f>
        <v/>
      </c>
    </row>
    <row r="652" spans="6:16" ht="45" customHeight="1" x14ac:dyDescent="0.2">
      <c r="F652" s="272" t="str">
        <f>'4. Report'!B194</f>
        <v/>
      </c>
      <c r="G652" s="216" t="str">
        <f>'4. Report'!C194</f>
        <v/>
      </c>
      <c r="H652" s="216" t="str">
        <f>'4. Report'!D194</f>
        <v/>
      </c>
      <c r="I652" s="216" t="str">
        <f>'4. Report'!E194</f>
        <v/>
      </c>
      <c r="J652" s="216" t="str">
        <f>'4. Report'!F194</f>
        <v/>
      </c>
      <c r="K652" s="216" t="str">
        <f>'4. Report'!G194</f>
        <v/>
      </c>
      <c r="L652" s="216" t="str">
        <f>'4. Report'!H194</f>
        <v/>
      </c>
      <c r="M652" s="216" t="str">
        <f>'4. Report'!I194</f>
        <v/>
      </c>
      <c r="N652" s="216" t="str">
        <f>'4. Report'!J194</f>
        <v/>
      </c>
      <c r="O652" s="216" t="str">
        <f>'4. Report'!K194</f>
        <v/>
      </c>
      <c r="P652" s="217" t="str">
        <f>'4. Report'!L194</f>
        <v/>
      </c>
    </row>
    <row r="664" spans="6:16" ht="37" x14ac:dyDescent="0.45">
      <c r="F664" s="158"/>
      <c r="G664" s="260">
        <v>1</v>
      </c>
      <c r="H664" s="261">
        <v>2</v>
      </c>
      <c r="I664" s="261">
        <v>3</v>
      </c>
      <c r="J664" s="261">
        <v>4</v>
      </c>
      <c r="K664" s="261">
        <v>5</v>
      </c>
      <c r="L664" s="261">
        <v>10</v>
      </c>
      <c r="M664" s="261">
        <v>15</v>
      </c>
      <c r="N664" s="261">
        <v>20</v>
      </c>
      <c r="O664" s="261">
        <v>25</v>
      </c>
      <c r="P664" s="262">
        <v>30</v>
      </c>
    </row>
    <row r="665" spans="6:16" ht="38" x14ac:dyDescent="0.2">
      <c r="F665" s="273" t="s">
        <v>152</v>
      </c>
      <c r="G665" s="265">
        <f>G631/12</f>
        <v>498.5</v>
      </c>
      <c r="H665" s="265">
        <f t="shared" ref="H665:P665" si="1">H631/12</f>
        <v>508.47</v>
      </c>
      <c r="I665" s="265">
        <f t="shared" si="1"/>
        <v>518.63940000000014</v>
      </c>
      <c r="J665" s="265">
        <f t="shared" si="1"/>
        <v>529.01218800000004</v>
      </c>
      <c r="K665" s="265">
        <f t="shared" si="1"/>
        <v>539.59243175999995</v>
      </c>
      <c r="L665" s="265">
        <f t="shared" si="1"/>
        <v>595.75364545822197</v>
      </c>
      <c r="M665" s="265">
        <f t="shared" si="1"/>
        <v>657.76016338684178</v>
      </c>
      <c r="N665" s="265">
        <f t="shared" si="1"/>
        <v>726.22036950510721</v>
      </c>
      <c r="O665" s="265">
        <f t="shared" si="1"/>
        <v>801.8059688633997</v>
      </c>
      <c r="P665" s="266">
        <f t="shared" si="1"/>
        <v>885.25857811325659</v>
      </c>
    </row>
    <row r="666" spans="6:16" ht="43.5" customHeight="1" x14ac:dyDescent="0.2">
      <c r="F666" s="274" t="s">
        <v>153</v>
      </c>
      <c r="G666" s="441" t="s">
        <v>163</v>
      </c>
      <c r="H666" s="441"/>
      <c r="I666" s="441"/>
      <c r="J666" s="441"/>
      <c r="K666" s="441"/>
      <c r="L666" s="441"/>
      <c r="M666" s="441"/>
      <c r="N666" s="441"/>
      <c r="O666" s="441"/>
      <c r="P666" s="442"/>
    </row>
    <row r="667" spans="6:16" ht="43.5" customHeight="1" x14ac:dyDescent="0.2">
      <c r="F667" s="271" t="str">
        <f>F633</f>
        <v>GP</v>
      </c>
      <c r="G667" s="304">
        <f>IF(F667="","",G609/12)</f>
        <v>149.54999999999998</v>
      </c>
      <c r="H667" s="305">
        <f t="shared" ref="H667:P667" si="2">IF(G667="","",H609/12)</f>
        <v>152.541</v>
      </c>
      <c r="I667" s="305">
        <f t="shared" si="2"/>
        <v>155.59182000000001</v>
      </c>
      <c r="J667" s="305">
        <f t="shared" si="2"/>
        <v>158.7036564</v>
      </c>
      <c r="K667" s="305">
        <f t="shared" si="2"/>
        <v>161.87772952799997</v>
      </c>
      <c r="L667" s="305">
        <f t="shared" si="2"/>
        <v>178.72609363746656</v>
      </c>
      <c r="M667" s="305">
        <f t="shared" si="2"/>
        <v>197.32804901605252</v>
      </c>
      <c r="N667" s="305">
        <f t="shared" si="2"/>
        <v>217.86611085153217</v>
      </c>
      <c r="O667" s="305">
        <f t="shared" si="2"/>
        <v>240.54179065901988</v>
      </c>
      <c r="P667" s="306">
        <f t="shared" si="2"/>
        <v>265.57757343397697</v>
      </c>
    </row>
    <row r="668" spans="6:16" ht="43.5" customHeight="1" x14ac:dyDescent="0.2">
      <c r="F668" s="271" t="str">
        <f t="shared" ref="F668:F686" si="3">F634</f>
        <v>Investor 1</v>
      </c>
      <c r="G668" s="307">
        <f t="shared" ref="G668:P668" si="4">IF(F668="","",G610/12)</f>
        <v>348.95</v>
      </c>
      <c r="H668" s="302">
        <f t="shared" si="4"/>
        <v>355.92900000000003</v>
      </c>
      <c r="I668" s="302">
        <f t="shared" si="4"/>
        <v>363.0475800000001</v>
      </c>
      <c r="J668" s="302">
        <f t="shared" si="4"/>
        <v>370.30853159999998</v>
      </c>
      <c r="K668" s="302">
        <f t="shared" si="4"/>
        <v>377.71470223199998</v>
      </c>
      <c r="L668" s="302">
        <f t="shared" si="4"/>
        <v>417.02755182075538</v>
      </c>
      <c r="M668" s="302">
        <f t="shared" si="4"/>
        <v>460.43211437078918</v>
      </c>
      <c r="N668" s="302">
        <f t="shared" si="4"/>
        <v>508.35425865357502</v>
      </c>
      <c r="O668" s="302">
        <f t="shared" si="4"/>
        <v>561.26417820437973</v>
      </c>
      <c r="P668" s="303">
        <f t="shared" si="4"/>
        <v>619.68100467927957</v>
      </c>
    </row>
    <row r="669" spans="6:16" ht="43.5" customHeight="1" x14ac:dyDescent="0.2">
      <c r="F669" s="271" t="str">
        <f t="shared" si="3"/>
        <v/>
      </c>
      <c r="G669" s="307" t="str">
        <f t="shared" ref="G669:P669" si="5">IF(F669="","",G611/12)</f>
        <v/>
      </c>
      <c r="H669" s="302" t="str">
        <f t="shared" si="5"/>
        <v/>
      </c>
      <c r="I669" s="302" t="str">
        <f t="shared" si="5"/>
        <v/>
      </c>
      <c r="J669" s="302" t="str">
        <f t="shared" si="5"/>
        <v/>
      </c>
      <c r="K669" s="302" t="str">
        <f t="shared" si="5"/>
        <v/>
      </c>
      <c r="L669" s="302" t="str">
        <f t="shared" si="5"/>
        <v/>
      </c>
      <c r="M669" s="302" t="str">
        <f t="shared" si="5"/>
        <v/>
      </c>
      <c r="N669" s="302" t="str">
        <f t="shared" si="5"/>
        <v/>
      </c>
      <c r="O669" s="302" t="str">
        <f t="shared" si="5"/>
        <v/>
      </c>
      <c r="P669" s="303" t="str">
        <f t="shared" si="5"/>
        <v/>
      </c>
    </row>
    <row r="670" spans="6:16" ht="43.5" customHeight="1" x14ac:dyDescent="0.2">
      <c r="F670" s="271" t="str">
        <f t="shared" si="3"/>
        <v/>
      </c>
      <c r="G670" s="307" t="str">
        <f t="shared" ref="G670:P670" si="6">IF(F670="","",G612/12)</f>
        <v/>
      </c>
      <c r="H670" s="302" t="str">
        <f t="shared" si="6"/>
        <v/>
      </c>
      <c r="I670" s="302" t="str">
        <f t="shared" si="6"/>
        <v/>
      </c>
      <c r="J670" s="302" t="str">
        <f t="shared" si="6"/>
        <v/>
      </c>
      <c r="K670" s="302" t="str">
        <f t="shared" si="6"/>
        <v/>
      </c>
      <c r="L670" s="302" t="str">
        <f t="shared" si="6"/>
        <v/>
      </c>
      <c r="M670" s="302" t="str">
        <f t="shared" si="6"/>
        <v/>
      </c>
      <c r="N670" s="302" t="str">
        <f t="shared" si="6"/>
        <v/>
      </c>
      <c r="O670" s="302" t="str">
        <f t="shared" si="6"/>
        <v/>
      </c>
      <c r="P670" s="303" t="str">
        <f t="shared" si="6"/>
        <v/>
      </c>
    </row>
    <row r="671" spans="6:16" ht="43.5" customHeight="1" x14ac:dyDescent="0.2">
      <c r="F671" s="271" t="str">
        <f t="shared" si="3"/>
        <v/>
      </c>
      <c r="G671" s="307" t="str">
        <f t="shared" ref="G671:P671" si="7">IF(F671="","",G613/12)</f>
        <v/>
      </c>
      <c r="H671" s="302" t="str">
        <f t="shared" si="7"/>
        <v/>
      </c>
      <c r="I671" s="302" t="str">
        <f t="shared" si="7"/>
        <v/>
      </c>
      <c r="J671" s="302" t="str">
        <f t="shared" si="7"/>
        <v/>
      </c>
      <c r="K671" s="302" t="str">
        <f t="shared" si="7"/>
        <v/>
      </c>
      <c r="L671" s="302" t="str">
        <f t="shared" si="7"/>
        <v/>
      </c>
      <c r="M671" s="302" t="str">
        <f t="shared" si="7"/>
        <v/>
      </c>
      <c r="N671" s="302" t="str">
        <f t="shared" si="7"/>
        <v/>
      </c>
      <c r="O671" s="302" t="str">
        <f t="shared" si="7"/>
        <v/>
      </c>
      <c r="P671" s="303" t="str">
        <f t="shared" si="7"/>
        <v/>
      </c>
    </row>
    <row r="672" spans="6:16" ht="43.5" customHeight="1" x14ac:dyDescent="0.2">
      <c r="F672" s="271" t="str">
        <f t="shared" si="3"/>
        <v/>
      </c>
      <c r="G672" s="308" t="str">
        <f t="shared" ref="G672:P672" si="8">IF(F672="","",G614/12)</f>
        <v/>
      </c>
      <c r="H672" s="297" t="str">
        <f t="shared" si="8"/>
        <v/>
      </c>
      <c r="I672" s="297" t="str">
        <f t="shared" si="8"/>
        <v/>
      </c>
      <c r="J672" s="297" t="str">
        <f t="shared" si="8"/>
        <v/>
      </c>
      <c r="K672" s="297" t="str">
        <f t="shared" si="8"/>
        <v/>
      </c>
      <c r="L672" s="297" t="str">
        <f t="shared" si="8"/>
        <v/>
      </c>
      <c r="M672" s="297" t="str">
        <f t="shared" si="8"/>
        <v/>
      </c>
      <c r="N672" s="297" t="str">
        <f t="shared" si="8"/>
        <v/>
      </c>
      <c r="O672" s="297" t="str">
        <f t="shared" si="8"/>
        <v/>
      </c>
      <c r="P672" s="299" t="str">
        <f t="shared" si="8"/>
        <v/>
      </c>
    </row>
    <row r="673" spans="6:16" ht="43.5" customHeight="1" x14ac:dyDescent="0.2">
      <c r="F673" s="271" t="str">
        <f t="shared" si="3"/>
        <v/>
      </c>
      <c r="G673" s="308" t="str">
        <f t="shared" ref="G673:P673" si="9">IF(F673="","",G615/12)</f>
        <v/>
      </c>
      <c r="H673" s="297" t="str">
        <f t="shared" si="9"/>
        <v/>
      </c>
      <c r="I673" s="297" t="str">
        <f t="shared" si="9"/>
        <v/>
      </c>
      <c r="J673" s="297" t="str">
        <f t="shared" si="9"/>
        <v/>
      </c>
      <c r="K673" s="297" t="str">
        <f t="shared" si="9"/>
        <v/>
      </c>
      <c r="L673" s="297" t="str">
        <f t="shared" si="9"/>
        <v/>
      </c>
      <c r="M673" s="297" t="str">
        <f t="shared" si="9"/>
        <v/>
      </c>
      <c r="N673" s="297" t="str">
        <f t="shared" si="9"/>
        <v/>
      </c>
      <c r="O673" s="297" t="str">
        <f t="shared" si="9"/>
        <v/>
      </c>
      <c r="P673" s="299" t="str">
        <f t="shared" si="9"/>
        <v/>
      </c>
    </row>
    <row r="674" spans="6:16" ht="43.5" customHeight="1" x14ac:dyDescent="0.2">
      <c r="F674" s="271" t="str">
        <f t="shared" si="3"/>
        <v/>
      </c>
      <c r="G674" s="308" t="str">
        <f t="shared" ref="G674:P674" si="10">IF(F674="","",G616/12)</f>
        <v/>
      </c>
      <c r="H674" s="297" t="str">
        <f t="shared" si="10"/>
        <v/>
      </c>
      <c r="I674" s="297" t="str">
        <f t="shared" si="10"/>
        <v/>
      </c>
      <c r="J674" s="297" t="str">
        <f t="shared" si="10"/>
        <v/>
      </c>
      <c r="K674" s="297" t="str">
        <f t="shared" si="10"/>
        <v/>
      </c>
      <c r="L674" s="297" t="str">
        <f t="shared" si="10"/>
        <v/>
      </c>
      <c r="M674" s="297" t="str">
        <f t="shared" si="10"/>
        <v/>
      </c>
      <c r="N674" s="297" t="str">
        <f t="shared" si="10"/>
        <v/>
      </c>
      <c r="O674" s="297" t="str">
        <f t="shared" si="10"/>
        <v/>
      </c>
      <c r="P674" s="299" t="str">
        <f t="shared" si="10"/>
        <v/>
      </c>
    </row>
    <row r="675" spans="6:16" ht="43.5" customHeight="1" x14ac:dyDescent="0.2">
      <c r="F675" s="271" t="str">
        <f t="shared" si="3"/>
        <v/>
      </c>
      <c r="G675" s="308" t="str">
        <f t="shared" ref="G675:P675" si="11">IF(F675="","",G617/12)</f>
        <v/>
      </c>
      <c r="H675" s="297" t="str">
        <f t="shared" si="11"/>
        <v/>
      </c>
      <c r="I675" s="297" t="str">
        <f t="shared" si="11"/>
        <v/>
      </c>
      <c r="J675" s="297" t="str">
        <f t="shared" si="11"/>
        <v/>
      </c>
      <c r="K675" s="297" t="str">
        <f t="shared" si="11"/>
        <v/>
      </c>
      <c r="L675" s="297" t="str">
        <f t="shared" si="11"/>
        <v/>
      </c>
      <c r="M675" s="297" t="str">
        <f t="shared" si="11"/>
        <v/>
      </c>
      <c r="N675" s="297" t="str">
        <f t="shared" si="11"/>
        <v/>
      </c>
      <c r="O675" s="297" t="str">
        <f t="shared" si="11"/>
        <v/>
      </c>
      <c r="P675" s="299" t="str">
        <f t="shared" si="11"/>
        <v/>
      </c>
    </row>
    <row r="676" spans="6:16" ht="43.5" customHeight="1" x14ac:dyDescent="0.2">
      <c r="F676" s="271" t="str">
        <f t="shared" si="3"/>
        <v/>
      </c>
      <c r="G676" s="308" t="str">
        <f t="shared" ref="G676:P676" si="12">IF(F676="","",G618/12)</f>
        <v/>
      </c>
      <c r="H676" s="297" t="str">
        <f t="shared" si="12"/>
        <v/>
      </c>
      <c r="I676" s="297" t="str">
        <f t="shared" si="12"/>
        <v/>
      </c>
      <c r="J676" s="297" t="str">
        <f t="shared" si="12"/>
        <v/>
      </c>
      <c r="K676" s="297" t="str">
        <f t="shared" si="12"/>
        <v/>
      </c>
      <c r="L676" s="297" t="str">
        <f t="shared" si="12"/>
        <v/>
      </c>
      <c r="M676" s="297" t="str">
        <f t="shared" si="12"/>
        <v/>
      </c>
      <c r="N676" s="297" t="str">
        <f t="shared" si="12"/>
        <v/>
      </c>
      <c r="O676" s="297" t="str">
        <f t="shared" si="12"/>
        <v/>
      </c>
      <c r="P676" s="299" t="str">
        <f t="shared" si="12"/>
        <v/>
      </c>
    </row>
    <row r="677" spans="6:16" ht="43.5" customHeight="1" x14ac:dyDescent="0.2">
      <c r="F677" s="271" t="str">
        <f t="shared" si="3"/>
        <v/>
      </c>
      <c r="G677" s="308" t="str">
        <f t="shared" ref="G677:P677" si="13">IF(F677="","",G619/12)</f>
        <v/>
      </c>
      <c r="H677" s="297" t="str">
        <f t="shared" si="13"/>
        <v/>
      </c>
      <c r="I677" s="297" t="str">
        <f t="shared" si="13"/>
        <v/>
      </c>
      <c r="J677" s="297" t="str">
        <f t="shared" si="13"/>
        <v/>
      </c>
      <c r="K677" s="297" t="str">
        <f t="shared" si="13"/>
        <v/>
      </c>
      <c r="L677" s="297" t="str">
        <f t="shared" si="13"/>
        <v/>
      </c>
      <c r="M677" s="297" t="str">
        <f t="shared" si="13"/>
        <v/>
      </c>
      <c r="N677" s="297" t="str">
        <f t="shared" si="13"/>
        <v/>
      </c>
      <c r="O677" s="297" t="str">
        <f t="shared" si="13"/>
        <v/>
      </c>
      <c r="P677" s="299" t="str">
        <f t="shared" si="13"/>
        <v/>
      </c>
    </row>
    <row r="678" spans="6:16" ht="43.5" customHeight="1" x14ac:dyDescent="0.2">
      <c r="F678" s="271" t="str">
        <f t="shared" si="3"/>
        <v/>
      </c>
      <c r="G678" s="308" t="str">
        <f t="shared" ref="G678:P678" si="14">IF(F678="","",G620/12)</f>
        <v/>
      </c>
      <c r="H678" s="297" t="str">
        <f t="shared" si="14"/>
        <v/>
      </c>
      <c r="I678" s="297" t="str">
        <f t="shared" si="14"/>
        <v/>
      </c>
      <c r="J678" s="297" t="str">
        <f t="shared" si="14"/>
        <v/>
      </c>
      <c r="K678" s="297" t="str">
        <f t="shared" si="14"/>
        <v/>
      </c>
      <c r="L678" s="297" t="str">
        <f t="shared" si="14"/>
        <v/>
      </c>
      <c r="M678" s="297" t="str">
        <f t="shared" si="14"/>
        <v/>
      </c>
      <c r="N678" s="297" t="str">
        <f t="shared" si="14"/>
        <v/>
      </c>
      <c r="O678" s="297" t="str">
        <f t="shared" si="14"/>
        <v/>
      </c>
      <c r="P678" s="299" t="str">
        <f t="shared" si="14"/>
        <v/>
      </c>
    </row>
    <row r="679" spans="6:16" ht="43.5" customHeight="1" x14ac:dyDescent="0.2">
      <c r="F679" s="271" t="str">
        <f t="shared" si="3"/>
        <v/>
      </c>
      <c r="G679" s="308" t="str">
        <f t="shared" ref="G679:P679" si="15">IF(F679="","",G621/12)</f>
        <v/>
      </c>
      <c r="H679" s="297" t="str">
        <f t="shared" si="15"/>
        <v/>
      </c>
      <c r="I679" s="297" t="str">
        <f t="shared" si="15"/>
        <v/>
      </c>
      <c r="J679" s="297" t="str">
        <f t="shared" si="15"/>
        <v/>
      </c>
      <c r="K679" s="297" t="str">
        <f t="shared" si="15"/>
        <v/>
      </c>
      <c r="L679" s="297" t="str">
        <f t="shared" si="15"/>
        <v/>
      </c>
      <c r="M679" s="297" t="str">
        <f t="shared" si="15"/>
        <v/>
      </c>
      <c r="N679" s="297" t="str">
        <f t="shared" si="15"/>
        <v/>
      </c>
      <c r="O679" s="297" t="str">
        <f t="shared" si="15"/>
        <v/>
      </c>
      <c r="P679" s="299" t="str">
        <f t="shared" si="15"/>
        <v/>
      </c>
    </row>
    <row r="680" spans="6:16" ht="43.5" customHeight="1" x14ac:dyDescent="0.2">
      <c r="F680" s="271" t="str">
        <f t="shared" si="3"/>
        <v/>
      </c>
      <c r="G680" s="308" t="str">
        <f t="shared" ref="G680:P680" si="16">IF(F680="","",G622/12)</f>
        <v/>
      </c>
      <c r="H680" s="297" t="str">
        <f t="shared" si="16"/>
        <v/>
      </c>
      <c r="I680" s="297" t="str">
        <f t="shared" si="16"/>
        <v/>
      </c>
      <c r="J680" s="297" t="str">
        <f t="shared" si="16"/>
        <v/>
      </c>
      <c r="K680" s="297" t="str">
        <f t="shared" si="16"/>
        <v/>
      </c>
      <c r="L680" s="297" t="str">
        <f t="shared" si="16"/>
        <v/>
      </c>
      <c r="M680" s="297" t="str">
        <f t="shared" si="16"/>
        <v/>
      </c>
      <c r="N680" s="297" t="str">
        <f t="shared" si="16"/>
        <v/>
      </c>
      <c r="O680" s="297" t="str">
        <f t="shared" si="16"/>
        <v/>
      </c>
      <c r="P680" s="299" t="str">
        <f t="shared" si="16"/>
        <v/>
      </c>
    </row>
    <row r="681" spans="6:16" ht="43.5" customHeight="1" x14ac:dyDescent="0.2">
      <c r="F681" s="271" t="str">
        <f t="shared" si="3"/>
        <v/>
      </c>
      <c r="G681" s="308" t="str">
        <f t="shared" ref="G681:P681" si="17">IF(F681="","",G623/12)</f>
        <v/>
      </c>
      <c r="H681" s="297" t="str">
        <f t="shared" si="17"/>
        <v/>
      </c>
      <c r="I681" s="297" t="str">
        <f t="shared" si="17"/>
        <v/>
      </c>
      <c r="J681" s="297" t="str">
        <f t="shared" si="17"/>
        <v/>
      </c>
      <c r="K681" s="297" t="str">
        <f t="shared" si="17"/>
        <v/>
      </c>
      <c r="L681" s="297" t="str">
        <f t="shared" si="17"/>
        <v/>
      </c>
      <c r="M681" s="297" t="str">
        <f t="shared" si="17"/>
        <v/>
      </c>
      <c r="N681" s="297" t="str">
        <f t="shared" si="17"/>
        <v/>
      </c>
      <c r="O681" s="297" t="str">
        <f t="shared" si="17"/>
        <v/>
      </c>
      <c r="P681" s="299" t="str">
        <f t="shared" si="17"/>
        <v/>
      </c>
    </row>
    <row r="682" spans="6:16" ht="43.5" customHeight="1" x14ac:dyDescent="0.2">
      <c r="F682" s="271" t="str">
        <f t="shared" si="3"/>
        <v/>
      </c>
      <c r="G682" s="308" t="str">
        <f t="shared" ref="G682:P682" si="18">IF(F682="","",G624/12)</f>
        <v/>
      </c>
      <c r="H682" s="297" t="str">
        <f t="shared" si="18"/>
        <v/>
      </c>
      <c r="I682" s="297" t="str">
        <f t="shared" si="18"/>
        <v/>
      </c>
      <c r="J682" s="297" t="str">
        <f t="shared" si="18"/>
        <v/>
      </c>
      <c r="K682" s="297" t="str">
        <f t="shared" si="18"/>
        <v/>
      </c>
      <c r="L682" s="297" t="str">
        <f t="shared" si="18"/>
        <v/>
      </c>
      <c r="M682" s="297" t="str">
        <f t="shared" si="18"/>
        <v/>
      </c>
      <c r="N682" s="297" t="str">
        <f t="shared" si="18"/>
        <v/>
      </c>
      <c r="O682" s="297" t="str">
        <f t="shared" si="18"/>
        <v/>
      </c>
      <c r="P682" s="299" t="str">
        <f t="shared" si="18"/>
        <v/>
      </c>
    </row>
    <row r="683" spans="6:16" ht="43.5" customHeight="1" x14ac:dyDescent="0.2">
      <c r="F683" s="271" t="str">
        <f t="shared" si="3"/>
        <v/>
      </c>
      <c r="G683" s="308" t="str">
        <f t="shared" ref="G683:P683" si="19">IF(F683="","",G625/12)</f>
        <v/>
      </c>
      <c r="H683" s="297" t="str">
        <f t="shared" si="19"/>
        <v/>
      </c>
      <c r="I683" s="297" t="str">
        <f t="shared" si="19"/>
        <v/>
      </c>
      <c r="J683" s="297" t="str">
        <f t="shared" si="19"/>
        <v/>
      </c>
      <c r="K683" s="297" t="str">
        <f t="shared" si="19"/>
        <v/>
      </c>
      <c r="L683" s="297" t="str">
        <f t="shared" si="19"/>
        <v/>
      </c>
      <c r="M683" s="297" t="str">
        <f t="shared" si="19"/>
        <v/>
      </c>
      <c r="N683" s="297" t="str">
        <f t="shared" si="19"/>
        <v/>
      </c>
      <c r="O683" s="297" t="str">
        <f t="shared" si="19"/>
        <v/>
      </c>
      <c r="P683" s="299" t="str">
        <f t="shared" si="19"/>
        <v/>
      </c>
    </row>
    <row r="684" spans="6:16" ht="43.5" customHeight="1" x14ac:dyDescent="0.2">
      <c r="F684" s="271" t="str">
        <f t="shared" si="3"/>
        <v/>
      </c>
      <c r="G684" s="308" t="str">
        <f t="shared" ref="G684:P684" si="20">IF(F684="","",G626/12)</f>
        <v/>
      </c>
      <c r="H684" s="297" t="str">
        <f t="shared" si="20"/>
        <v/>
      </c>
      <c r="I684" s="297" t="str">
        <f t="shared" si="20"/>
        <v/>
      </c>
      <c r="J684" s="297" t="str">
        <f t="shared" si="20"/>
        <v/>
      </c>
      <c r="K684" s="297" t="str">
        <f t="shared" si="20"/>
        <v/>
      </c>
      <c r="L684" s="297" t="str">
        <f t="shared" si="20"/>
        <v/>
      </c>
      <c r="M684" s="297" t="str">
        <f t="shared" si="20"/>
        <v/>
      </c>
      <c r="N684" s="297" t="str">
        <f t="shared" si="20"/>
        <v/>
      </c>
      <c r="O684" s="297" t="str">
        <f t="shared" si="20"/>
        <v/>
      </c>
      <c r="P684" s="299" t="str">
        <f t="shared" si="20"/>
        <v/>
      </c>
    </row>
    <row r="685" spans="6:16" ht="43.5" customHeight="1" x14ac:dyDescent="0.2">
      <c r="F685" s="271" t="str">
        <f t="shared" si="3"/>
        <v/>
      </c>
      <c r="G685" s="308" t="str">
        <f t="shared" ref="G685:P685" si="21">IF(F685="","",G627/12)</f>
        <v/>
      </c>
      <c r="H685" s="297" t="str">
        <f t="shared" si="21"/>
        <v/>
      </c>
      <c r="I685" s="297" t="str">
        <f t="shared" si="21"/>
        <v/>
      </c>
      <c r="J685" s="297" t="str">
        <f t="shared" si="21"/>
        <v/>
      </c>
      <c r="K685" s="297" t="str">
        <f t="shared" si="21"/>
        <v/>
      </c>
      <c r="L685" s="297" t="str">
        <f t="shared" si="21"/>
        <v/>
      </c>
      <c r="M685" s="297" t="str">
        <f t="shared" si="21"/>
        <v/>
      </c>
      <c r="N685" s="297" t="str">
        <f t="shared" si="21"/>
        <v/>
      </c>
      <c r="O685" s="297" t="str">
        <f t="shared" si="21"/>
        <v/>
      </c>
      <c r="P685" s="299" t="str">
        <f t="shared" si="21"/>
        <v/>
      </c>
    </row>
    <row r="686" spans="6:16" ht="43.5" customHeight="1" x14ac:dyDescent="0.2">
      <c r="F686" s="272" t="str">
        <f t="shared" si="3"/>
        <v/>
      </c>
      <c r="G686" s="309" t="str">
        <f t="shared" ref="G686:P686" si="22">IF(F686="","",G628/12)</f>
        <v/>
      </c>
      <c r="H686" s="300" t="str">
        <f t="shared" si="22"/>
        <v/>
      </c>
      <c r="I686" s="300" t="str">
        <f t="shared" si="22"/>
        <v/>
      </c>
      <c r="J686" s="300" t="str">
        <f t="shared" si="22"/>
        <v/>
      </c>
      <c r="K686" s="300" t="str">
        <f t="shared" si="22"/>
        <v/>
      </c>
      <c r="L686" s="300" t="str">
        <f t="shared" si="22"/>
        <v/>
      </c>
      <c r="M686" s="300" t="str">
        <f t="shared" si="22"/>
        <v/>
      </c>
      <c r="N686" s="300" t="str">
        <f t="shared" si="22"/>
        <v/>
      </c>
      <c r="O686" s="300" t="str">
        <f t="shared" si="22"/>
        <v/>
      </c>
      <c r="P686" s="301" t="str">
        <f t="shared" si="22"/>
        <v/>
      </c>
    </row>
    <row r="688" spans="6:16" ht="37" x14ac:dyDescent="0.2">
      <c r="F688" s="158" t="str">
        <f>IF('3.1 Investor Splits'!F14="Yes","*Note: The general partner will be managing this property at "&amp;'3. Rent &amp; Expenses'!I25*100&amp;"% of the total revenue of the property.","")</f>
        <v/>
      </c>
    </row>
    <row r="691" spans="7:7" ht="31" x14ac:dyDescent="0.2">
      <c r="G691" s="311"/>
    </row>
  </sheetData>
  <mergeCells count="63">
    <mergeCell ref="P249:Q250"/>
    <mergeCell ref="G608:P608"/>
    <mergeCell ref="G632:P632"/>
    <mergeCell ref="F257:G257"/>
    <mergeCell ref="F255:G255"/>
    <mergeCell ref="F254:G254"/>
    <mergeCell ref="F259:G259"/>
    <mergeCell ref="F258:G258"/>
    <mergeCell ref="H342:I342"/>
    <mergeCell ref="H341:I341"/>
    <mergeCell ref="I302:K302"/>
    <mergeCell ref="I301:K301"/>
    <mergeCell ref="N302:P302"/>
    <mergeCell ref="N301:P301"/>
    <mergeCell ref="N299:P299"/>
    <mergeCell ref="N298:P298"/>
    <mergeCell ref="F253:G253"/>
    <mergeCell ref="F252:G252"/>
    <mergeCell ref="F277:G277"/>
    <mergeCell ref="F275:G275"/>
    <mergeCell ref="F273:G273"/>
    <mergeCell ref="F271:G271"/>
    <mergeCell ref="F270:G270"/>
    <mergeCell ref="F269:G269"/>
    <mergeCell ref="F268:G268"/>
    <mergeCell ref="F266:G266"/>
    <mergeCell ref="F265:G265"/>
    <mergeCell ref="F264:G264"/>
    <mergeCell ref="F262:G262"/>
    <mergeCell ref="F261:G261"/>
    <mergeCell ref="F260:G260"/>
    <mergeCell ref="H122:O122"/>
    <mergeCell ref="H119:O119"/>
    <mergeCell ref="H96:O96"/>
    <mergeCell ref="F247:G248"/>
    <mergeCell ref="H121:O121"/>
    <mergeCell ref="H120:O120"/>
    <mergeCell ref="M242:N242"/>
    <mergeCell ref="I97:N102"/>
    <mergeCell ref="D213:O228"/>
    <mergeCell ref="P247:Q248"/>
    <mergeCell ref="F249:G250"/>
    <mergeCell ref="P239:Q239"/>
    <mergeCell ref="M239:N239"/>
    <mergeCell ref="J239:K239"/>
    <mergeCell ref="J240:K240"/>
    <mergeCell ref="P243:Q243"/>
    <mergeCell ref="P242:Q242"/>
    <mergeCell ref="P240:Q240"/>
    <mergeCell ref="M240:N240"/>
    <mergeCell ref="J243:K243"/>
    <mergeCell ref="J246:K246"/>
    <mergeCell ref="J245:K245"/>
    <mergeCell ref="M246:N246"/>
    <mergeCell ref="M245:N245"/>
    <mergeCell ref="M243:N243"/>
    <mergeCell ref="G666:P666"/>
    <mergeCell ref="I298:K298"/>
    <mergeCell ref="N342:P342"/>
    <mergeCell ref="N341:P341"/>
    <mergeCell ref="K342:L342"/>
    <mergeCell ref="K341:L341"/>
    <mergeCell ref="I299:K299"/>
  </mergeCells>
  <hyperlinks>
    <hyperlink ref="H122" r:id="rId1" xr:uid="{00000000-0004-0000-0900-000000000000}"/>
  </hyperlinks>
  <pageMargins left="0.7" right="0.7" top="0.75" bottom="0.75" header="0.3" footer="0.3"/>
  <pageSetup scale="18" fitToWidth="0" fitToHeight="0" orientation="landscape" r:id="rId2"/>
  <rowBreaks count="7" manualBreakCount="7">
    <brk id="147" max="23" man="1"/>
    <brk id="233" max="16383" man="1"/>
    <brk id="285" max="16383" man="1"/>
    <brk id="379" max="16383" man="1"/>
    <brk id="523" max="16383" man="1"/>
    <brk id="589" max="16383" man="1"/>
    <brk id="660" max="16383" man="1"/>
  </row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Instruction</vt:lpstr>
      <vt:lpstr>1. Property Information</vt:lpstr>
      <vt:lpstr>2. Purchase Information</vt:lpstr>
      <vt:lpstr>3. Rent &amp; Expenses</vt:lpstr>
      <vt:lpstr>3.1 Investor Splits</vt:lpstr>
      <vt:lpstr>4. Report</vt:lpstr>
      <vt:lpstr>Pro Forma</vt:lpstr>
      <vt:lpstr>Debt Payment (Monthly)</vt:lpstr>
      <vt:lpstr>Debt Payment (Yearly)</vt:lpstr>
      <vt:lpstr>Template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Steiner</dc:creator>
  <cp:keywords/>
  <dc:description/>
  <cp:lastModifiedBy>John Steiner</cp:lastModifiedBy>
  <cp:lastPrinted>2019-09-25T10:26:24Z</cp:lastPrinted>
  <dcterms:created xsi:type="dcterms:W3CDTF">2019-07-12T12:20:30Z</dcterms:created>
  <dcterms:modified xsi:type="dcterms:W3CDTF">2020-04-20T16:05:07Z</dcterms:modified>
  <cp:category/>
</cp:coreProperties>
</file>